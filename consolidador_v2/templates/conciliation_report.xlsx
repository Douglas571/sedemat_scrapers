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esktop\CONCILIACIONES 2025\05 - MAYO 2025\"/>
    </mc:Choice>
  </mc:AlternateContent>
  <xr:revisionPtr revIDLastSave="0" documentId="13_ncr:1_{06B2737B-0C12-4C28-B6FB-88BD9E1F34E1}" xr6:coauthVersionLast="47" xr6:coauthVersionMax="47" xr10:uidLastSave="{00000000-0000-0000-0000-000000000000}"/>
  <bookViews>
    <workbookView xWindow="0" yWindow="450" windowWidth="12000" windowHeight="13050" xr2:uid="{00000000-000D-0000-FFFF-FFFF00000000}"/>
  </bookViews>
  <sheets>
    <sheet name="CONCI. VENEZUELA (1892) 2025" sheetId="21" r:id="rId1"/>
    <sheet name=" LIBRO VZLA 1892" sheetId="17" r:id="rId2"/>
    <sheet name="CONCI. BDT (9290) 2025" sheetId="23" r:id="rId3"/>
    <sheet name="LIBRO BDT 9290" sheetId="18" r:id="rId4"/>
    <sheet name="LIBRO VEN" sheetId="24" r:id="rId5"/>
  </sheets>
  <definedNames>
    <definedName name="_xlnm._FilterDatabase" localSheetId="1" hidden="1">' LIBRO VZLA 1892'!$B$10:$H$10</definedName>
    <definedName name="_xlnm._FilterDatabase" localSheetId="0" hidden="1">'CONCI. VENEZUELA (1892) 2025'!$A$16:$G$62</definedName>
    <definedName name="_xlnm._FilterDatabase" localSheetId="4" hidden="1">'LIBRO VEN'!$A$1:$G$338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7" l="1"/>
  <c r="H15" i="17" s="1"/>
  <c r="H16" i="17" s="1"/>
  <c r="H17" i="17" s="1"/>
  <c r="H18" i="17" s="1"/>
  <c r="H19" i="17" s="1"/>
  <c r="H20" i="17" s="1"/>
  <c r="H21" i="17" s="1"/>
  <c r="H22" i="17" s="1"/>
  <c r="H23" i="17" s="1"/>
  <c r="H24" i="17" s="1"/>
  <c r="H25" i="17" s="1"/>
  <c r="H26" i="17" s="1"/>
  <c r="H27" i="17" s="1"/>
  <c r="H28" i="17" s="1"/>
  <c r="H29" i="17"/>
  <c r="H30" i="17" s="1"/>
  <c r="H31" i="17" s="1"/>
  <c r="H32" i="17" s="1"/>
  <c r="H33" i="17"/>
  <c r="H34" i="17" s="1"/>
  <c r="H35" i="17" s="1"/>
  <c r="H36" i="17" s="1"/>
  <c r="H37" i="17"/>
  <c r="H38" i="17" s="1"/>
  <c r="H39" i="17" s="1"/>
  <c r="H40" i="17" s="1"/>
  <c r="H41" i="17" s="1"/>
  <c r="H42" i="17" s="1"/>
  <c r="H43" i="17" s="1"/>
  <c r="H44" i="17" s="1"/>
  <c r="H45" i="17" s="1"/>
  <c r="H46" i="17" s="1"/>
  <c r="H47" i="17" s="1"/>
  <c r="H48" i="17" s="1"/>
  <c r="H49" i="17" s="1"/>
  <c r="H50" i="17" s="1"/>
  <c r="H51" i="17" s="1"/>
  <c r="H52" i="17" s="1"/>
  <c r="H53" i="17" s="1"/>
  <c r="H54" i="17" s="1"/>
  <c r="H55" i="17" s="1"/>
  <c r="H56" i="17" s="1"/>
  <c r="H57" i="17" s="1"/>
  <c r="H58" i="17" s="1"/>
  <c r="H59" i="17" s="1"/>
  <c r="H60" i="17" s="1"/>
  <c r="H61" i="17" s="1"/>
  <c r="H62" i="17" s="1"/>
  <c r="H63" i="17" s="1"/>
  <c r="H64" i="17" s="1"/>
  <c r="H65" i="17" s="1"/>
  <c r="H66" i="17" s="1"/>
  <c r="H67" i="17" s="1"/>
  <c r="H68" i="17" s="1"/>
  <c r="H69" i="17" s="1"/>
  <c r="H70" i="17" s="1"/>
  <c r="H71" i="17" s="1"/>
  <c r="H72" i="17" s="1"/>
  <c r="H73" i="17" s="1"/>
  <c r="H74" i="17" s="1"/>
  <c r="H75" i="17" s="1"/>
  <c r="H76" i="17" s="1"/>
  <c r="H77" i="17" s="1"/>
  <c r="H78" i="17" s="1"/>
  <c r="H79" i="17" s="1"/>
  <c r="H80" i="17" s="1"/>
  <c r="H81" i="17" s="1"/>
  <c r="H82" i="17" s="1"/>
  <c r="H83" i="17" s="1"/>
  <c r="H84" i="17" s="1"/>
  <c r="H85" i="17" s="1"/>
  <c r="H86" i="17" s="1"/>
  <c r="H87" i="17" s="1"/>
  <c r="H88" i="17" s="1"/>
  <c r="H89" i="17" s="1"/>
  <c r="H90" i="17" s="1"/>
  <c r="H91" i="17" s="1"/>
  <c r="H92" i="17" s="1"/>
  <c r="H93" i="17" s="1"/>
  <c r="H94" i="17" s="1"/>
  <c r="H95" i="17" s="1"/>
  <c r="H96" i="17" s="1"/>
  <c r="H97" i="17" s="1"/>
  <c r="H98" i="17" s="1"/>
  <c r="H99" i="17" s="1"/>
  <c r="H100" i="17" s="1"/>
  <c r="H101" i="17" s="1"/>
  <c r="H102" i="17" s="1"/>
  <c r="H103" i="17" s="1"/>
  <c r="H104" i="17" s="1"/>
  <c r="H105" i="17" s="1"/>
  <c r="H106" i="17" s="1"/>
  <c r="H107" i="17" s="1"/>
  <c r="H108" i="17" s="1"/>
  <c r="H109" i="17" s="1"/>
  <c r="H110" i="17" s="1"/>
  <c r="H111" i="17" s="1"/>
  <c r="H112" i="17" s="1"/>
  <c r="H113" i="17" s="1"/>
  <c r="H114" i="17" s="1"/>
  <c r="H115" i="17" s="1"/>
  <c r="H116" i="17" s="1"/>
  <c r="H117" i="17" s="1"/>
  <c r="H118" i="17" s="1"/>
  <c r="H119" i="17" s="1"/>
  <c r="H120" i="17" s="1"/>
  <c r="H121" i="17" s="1"/>
  <c r="H122" i="17" s="1"/>
  <c r="H123" i="17" s="1"/>
  <c r="H124" i="17" s="1"/>
  <c r="H125" i="17" s="1"/>
  <c r="H126" i="17" s="1"/>
  <c r="H127" i="17" s="1"/>
  <c r="H128" i="17" s="1"/>
  <c r="H129" i="17" s="1"/>
  <c r="H130" i="17" s="1"/>
  <c r="H131" i="17" s="1"/>
  <c r="H132" i="17" s="1"/>
  <c r="H133" i="17" s="1"/>
  <c r="H134" i="17" s="1"/>
  <c r="H135" i="17" s="1"/>
  <c r="H136" i="17" s="1"/>
  <c r="H137" i="17" s="1"/>
  <c r="H138" i="17" s="1"/>
  <c r="H139" i="17" s="1"/>
  <c r="H140" i="17" s="1"/>
  <c r="H141" i="17" s="1"/>
  <c r="H142" i="17" s="1"/>
  <c r="H143" i="17" s="1"/>
  <c r="H144" i="17" s="1"/>
  <c r="H145" i="17" s="1"/>
  <c r="H146" i="17" s="1"/>
  <c r="H147" i="17" s="1"/>
  <c r="H148" i="17" s="1"/>
  <c r="H149" i="17" s="1"/>
  <c r="H150" i="17" s="1"/>
  <c r="H151" i="17" s="1"/>
  <c r="H152" i="17" s="1"/>
  <c r="H153" i="17" s="1"/>
  <c r="H154" i="17" s="1"/>
  <c r="H155" i="17" s="1"/>
  <c r="H156" i="17" s="1"/>
  <c r="H157" i="17" s="1"/>
  <c r="H158" i="17" s="1"/>
  <c r="H159" i="17" s="1"/>
  <c r="H160" i="17" s="1"/>
  <c r="H161" i="17" s="1"/>
  <c r="H162" i="17" s="1"/>
  <c r="H163" i="17" s="1"/>
  <c r="H164" i="17" s="1"/>
  <c r="H165" i="17" s="1"/>
  <c r="H166" i="17" s="1"/>
  <c r="H167" i="17" s="1"/>
  <c r="H168" i="17" s="1"/>
  <c r="H169" i="17" s="1"/>
  <c r="H170" i="17" s="1"/>
  <c r="H171" i="17" s="1"/>
  <c r="H172" i="17" s="1"/>
  <c r="H173" i="17" s="1"/>
  <c r="H174" i="17" s="1"/>
  <c r="H175" i="17" s="1"/>
  <c r="H176" i="17" s="1"/>
  <c r="H177" i="17" s="1"/>
  <c r="H178" i="17" s="1"/>
  <c r="H179" i="17" s="1"/>
  <c r="H180" i="17" s="1"/>
  <c r="H181" i="17" s="1"/>
  <c r="H182" i="17" s="1"/>
  <c r="H183" i="17" s="1"/>
  <c r="H184" i="17" s="1"/>
  <c r="H185" i="17" s="1"/>
  <c r="H186" i="17" s="1"/>
  <c r="H187" i="17" s="1"/>
  <c r="H188" i="17" s="1"/>
  <c r="H189" i="17" s="1"/>
  <c r="H190" i="17" s="1"/>
  <c r="H191" i="17" s="1"/>
  <c r="H192" i="17" s="1"/>
  <c r="H193" i="17" s="1"/>
  <c r="H194" i="17" s="1"/>
  <c r="H195" i="17" s="1"/>
  <c r="H196" i="17" s="1"/>
  <c r="H197" i="17" s="1"/>
  <c r="H198" i="17" s="1"/>
  <c r="H199" i="17" s="1"/>
  <c r="H200" i="17" s="1"/>
  <c r="H201" i="17" s="1"/>
  <c r="H202" i="17" s="1"/>
  <c r="H203" i="17" s="1"/>
  <c r="H204" i="17" s="1"/>
  <c r="H205" i="17" s="1"/>
  <c r="H206" i="17" s="1"/>
  <c r="H207" i="17" s="1"/>
  <c r="H208" i="17" s="1"/>
  <c r="H209" i="17" s="1"/>
  <c r="H210" i="17" s="1"/>
  <c r="H211" i="17" s="1"/>
  <c r="H212" i="17" s="1"/>
  <c r="H213" i="17" s="1"/>
  <c r="H214" i="17" s="1"/>
  <c r="H215" i="17" s="1"/>
  <c r="H216" i="17" s="1"/>
  <c r="H217" i="17" s="1"/>
  <c r="H218" i="17" s="1"/>
  <c r="H219" i="17" s="1"/>
  <c r="H220" i="17" s="1"/>
  <c r="H221" i="17" s="1"/>
  <c r="H222" i="17" s="1"/>
  <c r="H223" i="17" s="1"/>
  <c r="H224" i="17" s="1"/>
  <c r="H225" i="17" s="1"/>
  <c r="H226" i="17" s="1"/>
  <c r="H227" i="17" s="1"/>
  <c r="H228" i="17" s="1"/>
  <c r="H229" i="17" s="1"/>
  <c r="H230" i="17" s="1"/>
  <c r="H231" i="17" s="1"/>
  <c r="H232" i="17" s="1"/>
  <c r="H233" i="17" s="1"/>
  <c r="H234" i="17" s="1"/>
  <c r="H235" i="17" s="1"/>
  <c r="H236" i="17" s="1"/>
  <c r="H237" i="17" s="1"/>
  <c r="H238" i="17" s="1"/>
  <c r="H239" i="17" s="1"/>
  <c r="H240" i="17" s="1"/>
  <c r="H241" i="17" s="1"/>
  <c r="H242" i="17" s="1"/>
  <c r="H243" i="17" s="1"/>
  <c r="H244" i="17" s="1"/>
  <c r="H245" i="17" s="1"/>
  <c r="H246" i="17" s="1"/>
  <c r="H247" i="17" s="1"/>
  <c r="H248" i="17" s="1"/>
  <c r="H249" i="17" s="1"/>
  <c r="H250" i="17" s="1"/>
  <c r="H251" i="17" s="1"/>
  <c r="H252" i="17" s="1"/>
  <c r="H253" i="17" s="1"/>
  <c r="H254" i="17" s="1"/>
  <c r="H255" i="17" s="1"/>
  <c r="H256" i="17" s="1"/>
  <c r="H257" i="17" s="1"/>
  <c r="H258" i="17" s="1"/>
  <c r="H259" i="17" s="1"/>
  <c r="H260" i="17" s="1"/>
  <c r="H261" i="17" s="1"/>
  <c r="H262" i="17" s="1"/>
  <c r="H263" i="17" s="1"/>
  <c r="H264" i="17" s="1"/>
  <c r="H265" i="17" s="1"/>
  <c r="H266" i="17" s="1"/>
  <c r="H267" i="17" s="1"/>
  <c r="H268" i="17" s="1"/>
  <c r="H269" i="17" s="1"/>
  <c r="H270" i="17" s="1"/>
  <c r="H271" i="17" s="1"/>
  <c r="H272" i="17" s="1"/>
  <c r="H273" i="17" s="1"/>
  <c r="H274" i="17" s="1"/>
  <c r="H275" i="17" s="1"/>
  <c r="H276" i="17" s="1"/>
  <c r="H277" i="17" s="1"/>
  <c r="H278" i="17" s="1"/>
  <c r="H279" i="17" s="1"/>
  <c r="H280" i="17" s="1"/>
  <c r="H281" i="17" s="1"/>
  <c r="H282" i="17" s="1"/>
  <c r="H283" i="17" s="1"/>
  <c r="H284" i="17" s="1"/>
  <c r="H285" i="17" s="1"/>
  <c r="H286" i="17" s="1"/>
  <c r="H287" i="17" s="1"/>
  <c r="H288" i="17" s="1"/>
  <c r="H289" i="17" s="1"/>
  <c r="H290" i="17" s="1"/>
  <c r="H291" i="17" s="1"/>
  <c r="H292" i="17" s="1"/>
  <c r="H293" i="17" s="1"/>
  <c r="H294" i="17" s="1"/>
  <c r="H295" i="17" s="1"/>
  <c r="H296" i="17" s="1"/>
  <c r="H297" i="17" s="1"/>
  <c r="H298" i="17" s="1"/>
  <c r="H299" i="17" s="1"/>
  <c r="H300" i="17" s="1"/>
  <c r="H301" i="17" s="1"/>
  <c r="H302" i="17" s="1"/>
  <c r="H303" i="17" s="1"/>
  <c r="H304" i="17" s="1"/>
  <c r="H305" i="17" s="1"/>
  <c r="H306" i="17" s="1"/>
  <c r="H307" i="17" s="1"/>
  <c r="H308" i="17" s="1"/>
  <c r="H309" i="17" s="1"/>
  <c r="H310" i="17" s="1"/>
  <c r="H311" i="17" s="1"/>
  <c r="H312" i="17" s="1"/>
  <c r="H313" i="17" s="1"/>
  <c r="H314" i="17" s="1"/>
  <c r="H315" i="17" s="1"/>
  <c r="H316" i="17" s="1"/>
  <c r="H317" i="17" s="1"/>
  <c r="H318" i="17" s="1"/>
  <c r="H319" i="17" s="1"/>
  <c r="H320" i="17" s="1"/>
  <c r="H321" i="17" s="1"/>
  <c r="H322" i="17" s="1"/>
  <c r="H323" i="17" s="1"/>
  <c r="H324" i="17" s="1"/>
  <c r="H325" i="17" s="1"/>
  <c r="H326" i="17" s="1"/>
  <c r="H327" i="17" s="1"/>
  <c r="H328" i="17" s="1"/>
  <c r="H329" i="17" s="1"/>
  <c r="H330" i="17" s="1"/>
  <c r="H331" i="17" s="1"/>
  <c r="H332" i="17" s="1"/>
  <c r="H333" i="17" s="1"/>
  <c r="H334" i="17" s="1"/>
  <c r="H335" i="17" s="1"/>
  <c r="H336" i="17" s="1"/>
  <c r="H337" i="17" s="1"/>
  <c r="H338" i="17" s="1"/>
  <c r="H339" i="17" s="1"/>
  <c r="H340" i="17" s="1"/>
  <c r="H341" i="17" s="1"/>
  <c r="H342" i="17" s="1"/>
  <c r="H343" i="17" s="1"/>
  <c r="H344" i="17" s="1"/>
  <c r="H345" i="17" s="1"/>
  <c r="H346" i="17" s="1"/>
  <c r="H347" i="17" s="1"/>
  <c r="H13" i="17"/>
  <c r="B51" i="24"/>
  <c r="B119" i="24"/>
  <c r="B52" i="24"/>
  <c r="B251" i="24"/>
  <c r="B120" i="24"/>
  <c r="B121" i="24"/>
  <c r="B180" i="24"/>
  <c r="B181" i="24"/>
  <c r="B216" i="24"/>
  <c r="B173" i="24"/>
  <c r="B164" i="24"/>
  <c r="B335" i="24"/>
  <c r="B71" i="24"/>
  <c r="B165" i="24"/>
  <c r="B252" i="24"/>
  <c r="B217" i="24"/>
  <c r="B178" i="24"/>
  <c r="B12" i="24"/>
  <c r="B122" i="24"/>
  <c r="B74" i="24"/>
  <c r="B2" i="24"/>
  <c r="B195" i="24"/>
  <c r="B13" i="24"/>
  <c r="B218" i="24"/>
  <c r="B123" i="24"/>
  <c r="B336" i="24"/>
  <c r="B166" i="24"/>
  <c r="B150" i="24"/>
  <c r="B167" i="24"/>
  <c r="B182" i="24"/>
  <c r="B86" i="24"/>
  <c r="B174" i="24"/>
  <c r="B179" i="24"/>
  <c r="B72" i="24"/>
  <c r="B87" i="24"/>
  <c r="B196" i="24"/>
  <c r="B53" i="24"/>
  <c r="B175" i="24"/>
  <c r="B49" i="24"/>
  <c r="B197" i="24"/>
  <c r="B124" i="24"/>
  <c r="B151" i="24"/>
  <c r="B5" i="24"/>
  <c r="B253" i="24"/>
  <c r="B267" i="24"/>
  <c r="B219" i="24"/>
  <c r="B220" i="24"/>
  <c r="B54" i="24"/>
  <c r="B168" i="24"/>
  <c r="B88" i="24"/>
  <c r="B6" i="24"/>
  <c r="B15" i="24"/>
  <c r="B176" i="24"/>
  <c r="B73" i="24"/>
  <c r="B75" i="24"/>
  <c r="B268" i="24"/>
  <c r="B269" i="24"/>
  <c r="B82" i="24"/>
  <c r="B14" i="24"/>
  <c r="B177" i="24"/>
  <c r="B221" i="24"/>
  <c r="B198" i="24"/>
  <c r="B222" i="24"/>
  <c r="B270" i="24"/>
  <c r="B271" i="24"/>
  <c r="B76" i="24"/>
  <c r="B77" i="24"/>
  <c r="B7" i="24"/>
  <c r="B4" i="24"/>
  <c r="B50" i="24"/>
  <c r="B3" i="24"/>
  <c r="B118" i="24"/>
  <c r="G69" i="21" l="1"/>
  <c r="D13" i="23" l="1"/>
  <c r="G63" i="21" l="1"/>
  <c r="D13" i="21"/>
  <c r="F72" i="21" l="1"/>
  <c r="F32" i="23"/>
  <c r="F33" i="23" s="1"/>
  <c r="H29" i="23"/>
  <c r="G32" i="23" s="1"/>
  <c r="G33" i="23" s="1"/>
  <c r="E72" i="21" l="1"/>
  <c r="E74" i="21" s="1"/>
  <c r="F73" i="21"/>
  <c r="F74" i="21" s="1"/>
  <c r="F11" i="21" s="1"/>
</calcChain>
</file>

<file path=xl/sharedStrings.xml><?xml version="1.0" encoding="utf-8"?>
<sst xmlns="http://schemas.openxmlformats.org/spreadsheetml/2006/main" count="1631" uniqueCount="580">
  <si>
    <t>SALDO</t>
  </si>
  <si>
    <t xml:space="preserve">CUMAREBO                      </t>
  </si>
  <si>
    <t>DIFERENCIA</t>
  </si>
  <si>
    <t xml:space="preserve">TRANSF RECIBIDA BDV V13026367 JANETH JACKELIN  </t>
  </si>
  <si>
    <t>0677290757948</t>
  </si>
  <si>
    <t xml:space="preserve">PAGOMOVIL BDV V15459312 CARMEN     MORENO      </t>
  </si>
  <si>
    <t>0590559889473</t>
  </si>
  <si>
    <t>TRANSF RECIBIDA BDV V15807485 BENIS ARGENIS  BO</t>
  </si>
  <si>
    <t xml:space="preserve">672866840397 </t>
  </si>
  <si>
    <t xml:space="preserve">TRANSF RECIBIDA BDV V09505800 AMANDA FLORES    </t>
  </si>
  <si>
    <t>0000000055996</t>
  </si>
  <si>
    <t>0590560417485</t>
  </si>
  <si>
    <t>TRANSF RECIBIDA BDV V12489212 GUILLERMO SANCHEZ</t>
  </si>
  <si>
    <t>0590550555511</t>
  </si>
  <si>
    <t>0102-0339250001071892</t>
  </si>
  <si>
    <t>REPUBLICA BOLIVARIANA DE VENEZUELA</t>
  </si>
  <si>
    <t>ESTADO FALCON</t>
  </si>
  <si>
    <t xml:space="preserve">ALCALDIA DEL  MUNICIPIO  ZAMORA </t>
  </si>
  <si>
    <t>SERVICIO DESCONCENTRADO MUNICIPAL DE ADMINISTRACION TRIBUTARIA</t>
  </si>
  <si>
    <t xml:space="preserve">LIBRO BANCO VENEZUELA </t>
  </si>
  <si>
    <t>CUENTA Nº 0102-0339250001071892 (INGRESOS)</t>
  </si>
  <si>
    <t>FECHA</t>
  </si>
  <si>
    <t>DESCRIPCION</t>
  </si>
  <si>
    <t>REF</t>
  </si>
  <si>
    <t>DEBE</t>
  </si>
  <si>
    <t>HABER</t>
  </si>
  <si>
    <t>SEPTIEMBRE</t>
  </si>
  <si>
    <t>SALDO AL 01/09/2025</t>
  </si>
  <si>
    <t xml:space="preserve">SALDO INICIAL </t>
  </si>
  <si>
    <t>CUENTA Nº 0175-0162-31-0074949290 (INGRESOS)</t>
  </si>
  <si>
    <t>LIBRO BANCO BICENTENARIO</t>
  </si>
  <si>
    <t>MOVIMIENTO CONCILIADO</t>
  </si>
  <si>
    <t>CONC. AL</t>
  </si>
  <si>
    <t>30/9/2025</t>
  </si>
  <si>
    <t>SALDO SEGUN LIBRO</t>
  </si>
  <si>
    <t>SALDO SEGUN BANCO</t>
  </si>
  <si>
    <t>NUMERO</t>
  </si>
  <si>
    <t>MONTO</t>
  </si>
  <si>
    <t>CONCEPTO</t>
  </si>
  <si>
    <t>Total Bs.F:</t>
  </si>
  <si>
    <t>RESUMEN DE LA CONCILIACIÓN</t>
  </si>
  <si>
    <t>.</t>
  </si>
  <si>
    <t>C.C.Nº    0175-0162-31-0074949290</t>
  </si>
  <si>
    <t>CONCILIACION BANCO DE VENEZUELA</t>
  </si>
  <si>
    <t>C.C.Nº    0102-0339250001071892</t>
  </si>
  <si>
    <t xml:space="preserve">TRANSACCION BIOPAGO </t>
  </si>
  <si>
    <t>1.- PAGOS PENDIENTES POR LIQUIDAR</t>
  </si>
  <si>
    <t>Total</t>
  </si>
  <si>
    <t>PAGOS PENDIENTES POR LIQUIDAR</t>
  </si>
  <si>
    <t>CANTIDAD</t>
  </si>
  <si>
    <t>PAGOS LIQUIDADOS</t>
  </si>
  <si>
    <t>BANCO: VENEZUELA</t>
  </si>
  <si>
    <t>BANCO: BDT</t>
  </si>
  <si>
    <t>CONCILIACION BANCO BDT</t>
  </si>
  <si>
    <t>PORCENTAJE COMISION BIOMETRICA</t>
  </si>
  <si>
    <t>COMISIONES BIOMETRICAS 1%</t>
  </si>
  <si>
    <t xml:space="preserve">MARIA GARCIA </t>
  </si>
  <si>
    <t>COORD. DE ADMINISTRACION Y LOGISTICA DE SEDEMAT</t>
  </si>
  <si>
    <t>ENERO 2025</t>
  </si>
  <si>
    <t>PAGO RECIBIDO OTROS BANCOS 0105 J302406641</t>
  </si>
  <si>
    <t xml:space="preserve">TRANSF RECIBIDA BDV V18199807 PAOLA CURIEL     </t>
  </si>
  <si>
    <t xml:space="preserve">TRASPASO INTERNO CREDITO      </t>
  </si>
  <si>
    <t xml:space="preserve">TRANSF RECIBIDA BDV V14796122 MIGUEL GUTIERREZ </t>
  </si>
  <si>
    <t xml:space="preserve">PAGO RECIBIDO BDV J406717738 AUTOPERIQUITOS EL </t>
  </si>
  <si>
    <t xml:space="preserve">TRANSF RECIBIDA BDV V13417574 YELITZA SIERRA   </t>
  </si>
  <si>
    <t xml:space="preserve">TRANSF RECIBIDA BDV V04577731 XIOMARA JOSEFINA </t>
  </si>
  <si>
    <t>BIOPAGO</t>
  </si>
  <si>
    <t>PAGO RECIBIDO OTROS BANCOS 0134 J503021926</t>
  </si>
  <si>
    <t xml:space="preserve">PAGOMOVIL BDV V29748656 DOUGLAS    SOCORRO     </t>
  </si>
  <si>
    <t>PAGOMOVIL OTROS BANCOS 0105 04127674210</t>
  </si>
  <si>
    <t xml:space="preserve">TRANSF RECIBIDA BDV V12586562 FRANKLIN RAMON   </t>
  </si>
  <si>
    <t>PAGO RECIBIDO OTROS BANCOS 0163 J402621680</t>
  </si>
  <si>
    <t>TRANSF RECIBIDA BDV V14794681 PEDRO JAVIER  GOI</t>
  </si>
  <si>
    <t xml:space="preserve">COMISION OPERACION BIOMETRIA  </t>
  </si>
  <si>
    <t xml:space="preserve">COM MANTENIMIENTO DE CUENTA   </t>
  </si>
  <si>
    <t>COBRO COMISION PAG MOVIL BDV A</t>
  </si>
  <si>
    <t xml:space="preserve">COMISION PAGO A PROVEEDORES   </t>
  </si>
  <si>
    <t xml:space="preserve">COMISION PAGOMOVILBDV         </t>
  </si>
  <si>
    <t>PAGO RECIBIDO OTROS BANCOS 0134 J411527297</t>
  </si>
  <si>
    <t>PAGO RECIBIDO OTROS BANCOS 0191 J297655948</t>
  </si>
  <si>
    <t>PAGO RECIBIDO OTROS BANCOS 0134 J003439940</t>
  </si>
  <si>
    <t xml:space="preserve">COMIS SERVICIOS DE POS BCV    </t>
  </si>
  <si>
    <t>PAGO RECIBIDO OTROS BANCOS 0134 V13027368</t>
  </si>
  <si>
    <t>TRANSF RECIBIDA BDV V29871108 ROSANYILYS ITURRE</t>
  </si>
  <si>
    <t xml:space="preserve">TRANSF RECIBIDA BDV V24352694 REBECA RODRIGUEZ </t>
  </si>
  <si>
    <t>PAGOMOVIL OTROS BANCOS 0134 04246816311</t>
  </si>
  <si>
    <t>TRANSF RECIBIDA BDV V12177163 JOSE ANGEL  IGLES</t>
  </si>
  <si>
    <t>TRANSF RECIBIDA BDV V20569242 YURAINNY DEL CARM</t>
  </si>
  <si>
    <t xml:space="preserve">TRANSF RECIBIDA BDV V04378300 EDUARDO PULIDO   </t>
  </si>
  <si>
    <t>TRANSF RECIBIDA BDV V15236685 RENE ANTONIO  ARI</t>
  </si>
  <si>
    <t xml:space="preserve">TRANSF RECIBIDA BDV V20212061 ALIRIO WOLFF     </t>
  </si>
  <si>
    <t>PAGO RECIBIDO OTROS BANCOS 0134 V11489153</t>
  </si>
  <si>
    <t xml:space="preserve">PAGOMOVIL BDV V24357476 WILFREDO   COLINA      </t>
  </si>
  <si>
    <t xml:space="preserve">TRANSF RECIBIDA BDV V29871923 LAO WU           </t>
  </si>
  <si>
    <t xml:space="preserve">TRANSF RECIBIDA BDV V10709341 DORELYS GONZALEZ </t>
  </si>
  <si>
    <t xml:space="preserve">PAGOMOVIL BDV V11478765 DANIEL     HERNANDEZ   </t>
  </si>
  <si>
    <t>PAGO RECIBIDO OTROS BANCOS 0174 J411845540</t>
  </si>
  <si>
    <t xml:space="preserve">TRANSF RECIBIDA BDV V24622049 DARIO GARCIA     </t>
  </si>
  <si>
    <t xml:space="preserve">TRANSF RECIBIDA BDV E82288509 LIANHUAN FENG    </t>
  </si>
  <si>
    <t xml:space="preserve">TRANSF RECIBIDA BDV V12734567 YOSIBELL PETIT   </t>
  </si>
  <si>
    <t xml:space="preserve">TRANSF RECIBIDA BDV V15704337 YESENIA PEREIRA  </t>
  </si>
  <si>
    <t>PAGO RECIBIDO BDV J407784030 MEGA MERCADO LOS A</t>
  </si>
  <si>
    <t xml:space="preserve">TRANSF RECIBIDA BDV V11362056 IRMA LOAIZA      </t>
  </si>
  <si>
    <t xml:space="preserve">TRANSF RECIBIDA BDV V16008319 NELSON CALLEJA   </t>
  </si>
  <si>
    <t xml:space="preserve">TRANSF RECIBIDA BDV V16521764 NOYMAR ALEJANDRA </t>
  </si>
  <si>
    <t xml:space="preserve">TRANSF RECIBIDA BDV V16349922 YONAN RAMIREZ    </t>
  </si>
  <si>
    <t>PAGOMOVIL OTROS BANCOS 0108 04125150107</t>
  </si>
  <si>
    <t xml:space="preserve">TRANSF RECIBIDA BDV V15459920 ELY HERNANDEZ    </t>
  </si>
  <si>
    <t xml:space="preserve">TRANSF RECIBIDA BDV V24787824 ALBERTO LUGO     </t>
  </si>
  <si>
    <t>COD. LIQUIDACION</t>
  </si>
  <si>
    <t>LIQUIDADO OTROS MESES</t>
  </si>
  <si>
    <t>2.- CONSIDERACIONES</t>
  </si>
  <si>
    <t xml:space="preserve">TRANSF RECIBIDA BDV V07473000 ZULYS SIVIRA     </t>
  </si>
  <si>
    <t>PAGO RECIBIDO BDV J412885472 MINI MARKET YRMARY</t>
  </si>
  <si>
    <t xml:space="preserve">TRANSF RECIBIDA BDV V17778621 MELISSA ZHENG    </t>
  </si>
  <si>
    <t>TRANSF RECIBIDA BDV V16277638 WILMARY HENRIQUEZ</t>
  </si>
  <si>
    <t>PAGO RECIBIDO OTROS BANCOS 0172 V5303677</t>
  </si>
  <si>
    <t xml:space="preserve">TRANSF RECIBIDA BDV V21447202 JOSCAR ARTEAGA   </t>
  </si>
  <si>
    <t xml:space="preserve">TRANSF RECIBIDA BDV V12184202 ANA COLINA       </t>
  </si>
  <si>
    <t xml:space="preserve">PAGOMOVIL BDV V13901055 LINETH     RODRIGUEZ   </t>
  </si>
  <si>
    <t>TRANSF RECIBIDA BDV V07489348 XIOMARA MARIA  SI</t>
  </si>
  <si>
    <t xml:space="preserve">TRANSF RECIBIDA BDV V12177163 JOSE IGLESIAS    </t>
  </si>
  <si>
    <t xml:space="preserve">TRANSF RECIBIDA BDV E84483142 JIENONG GUAN     </t>
  </si>
  <si>
    <t>TRANSF RECIBIDA BDV V20680447 KATHERINE COSTERO</t>
  </si>
  <si>
    <t>845487</t>
  </si>
  <si>
    <t>488487</t>
  </si>
  <si>
    <t>221363</t>
  </si>
  <si>
    <t>120065</t>
  </si>
  <si>
    <t>219383</t>
  </si>
  <si>
    <t>261454</t>
  </si>
  <si>
    <t>187448</t>
  </si>
  <si>
    <t>270868</t>
  </si>
  <si>
    <t>776895</t>
  </si>
  <si>
    <t>029354</t>
  </si>
  <si>
    <t>200602</t>
  </si>
  <si>
    <t>084120</t>
  </si>
  <si>
    <t>035236</t>
  </si>
  <si>
    <t xml:space="preserve">PAGOMOVIL BDV V15067893 ANAELIS    VARGAS      </t>
  </si>
  <si>
    <t>139274</t>
  </si>
  <si>
    <t>138890</t>
  </si>
  <si>
    <t>991008</t>
  </si>
  <si>
    <t xml:space="preserve">TRANSF RECIBIDA BDV V11800197 LILIA ALVAREZ    </t>
  </si>
  <si>
    <t xml:space="preserve">PAGOMOVIL BDV V26885784 DAISCAR    HERNANDEZ   </t>
  </si>
  <si>
    <t>551140</t>
  </si>
  <si>
    <t>870320</t>
  </si>
  <si>
    <t>220068</t>
  </si>
  <si>
    <t>PAGOMOVIL OTROS BANCOS 0114 04246705312</t>
  </si>
  <si>
    <t>396538</t>
  </si>
  <si>
    <t>627684</t>
  </si>
  <si>
    <t>086783</t>
  </si>
  <si>
    <t>098358</t>
  </si>
  <si>
    <t xml:space="preserve">PAGOMOVIL BDV V17925839 FRANKLIN   JIMEN       </t>
  </si>
  <si>
    <t>929030</t>
  </si>
  <si>
    <t>875844</t>
  </si>
  <si>
    <t xml:space="preserve">PAGOMOVIL BDV V10702311 SAMIR      MOHAMAD     </t>
  </si>
  <si>
    <t>113627</t>
  </si>
  <si>
    <t>811598</t>
  </si>
  <si>
    <t>264877</t>
  </si>
  <si>
    <t xml:space="preserve">TRANSF RECIBIDA BDV V09515823 NOREIDA ORDONEZ  </t>
  </si>
  <si>
    <t>207122</t>
  </si>
  <si>
    <t>393183</t>
  </si>
  <si>
    <t>525132</t>
  </si>
  <si>
    <t>584865</t>
  </si>
  <si>
    <t>003253</t>
  </si>
  <si>
    <t>942071</t>
  </si>
  <si>
    <t>854788</t>
  </si>
  <si>
    <t>146731</t>
  </si>
  <si>
    <t>051763</t>
  </si>
  <si>
    <t>014386</t>
  </si>
  <si>
    <t>881688</t>
  </si>
  <si>
    <t>179007</t>
  </si>
  <si>
    <t>PAGO RECIBIDO OTROS BANCOS 0134 V4104532</t>
  </si>
  <si>
    <t>174001</t>
  </si>
  <si>
    <t>TRANSF RECIBIDA BDV V30354521 DANIELA SEPULVEDA</t>
  </si>
  <si>
    <t>067500</t>
  </si>
  <si>
    <t>018740</t>
  </si>
  <si>
    <t>678703</t>
  </si>
  <si>
    <t xml:space="preserve">PAGOMOVIL BDV V19252328 CECILIA    RAMIREZ     </t>
  </si>
  <si>
    <t>333669</t>
  </si>
  <si>
    <t>843950</t>
  </si>
  <si>
    <t>199780</t>
  </si>
  <si>
    <t>409294</t>
  </si>
  <si>
    <t>333252</t>
  </si>
  <si>
    <t>806060</t>
  </si>
  <si>
    <t>026460</t>
  </si>
  <si>
    <t>291687</t>
  </si>
  <si>
    <t>TRANSF RECIBIDA BDV V21666484 CESARYLIS ANTONIE</t>
  </si>
  <si>
    <t>650121</t>
  </si>
  <si>
    <t xml:space="preserve">PAGOMOVIL BDV V25613976 DIANA      SERRANO     </t>
  </si>
  <si>
    <t>115954</t>
  </si>
  <si>
    <t>554943</t>
  </si>
  <si>
    <t>PAGOMOVIL OTROS BANCOS 0163 04126896641</t>
  </si>
  <si>
    <t>667855</t>
  </si>
  <si>
    <t xml:space="preserve">PAGOMOVIL BDV V24573695 YELITZA    CARRASQUER  </t>
  </si>
  <si>
    <t>763393</t>
  </si>
  <si>
    <t>122517</t>
  </si>
  <si>
    <t>042266</t>
  </si>
  <si>
    <t>026226</t>
  </si>
  <si>
    <t>026389</t>
  </si>
  <si>
    <t>977057</t>
  </si>
  <si>
    <t xml:space="preserve">TRANSF RECIBIDA BDV V09513353 LISBETH SIRIT    </t>
  </si>
  <si>
    <t>TRANSF RECIBIDA BDV V12180879 ALBERTINA CELESTE</t>
  </si>
  <si>
    <t xml:space="preserve">PAGOMOVIL BDV V19320741 CARLOS     CHACON      </t>
  </si>
  <si>
    <t xml:space="preserve">TRANSF RECIBIDA BDV V24718519 JAIRO DUMONT     </t>
  </si>
  <si>
    <t>PAGO A PROVEEDORES G200115882 INDUSTRIA VENEZOL</t>
  </si>
  <si>
    <t>TRANSF RECIBIDA BDV V12183776 AURA EMILIA  ROME</t>
  </si>
  <si>
    <t xml:space="preserve">TRANSF RECIBIDA BDV V18293550 NORALY RANGEL    </t>
  </si>
  <si>
    <t xml:space="preserve">PAGOMOVIL BDV V20295033 JORGE      FLORES      </t>
  </si>
  <si>
    <t xml:space="preserve">PAGOMOVIL BDV V24717404 ELIEZER    MOLINA      </t>
  </si>
  <si>
    <t xml:space="preserve">PAGOMOVIL BDV V11805757 OSCAR      MOTA        </t>
  </si>
  <si>
    <t xml:space="preserve">TRANSF RECIBIDA BDV V26677547 MANUEL GOITIA    </t>
  </si>
  <si>
    <t xml:space="preserve">PAGOMOVIL BDV V13417990 YANETH     PINA        </t>
  </si>
  <si>
    <t xml:space="preserve">PAGOMOVIL BDV V17925672 JOSE       POLANCO     </t>
  </si>
  <si>
    <t xml:space="preserve">TRANSF RECIBIDA BDV V03803225 WOLFGANG ROSENDO </t>
  </si>
  <si>
    <t xml:space="preserve">TRANSF RECIBIDA BDV V10700338 BETITZA LUGO     </t>
  </si>
  <si>
    <t xml:space="preserve">TRANSF RECIBIDA BDV V17350152 MARIGUEL ADRIAN  </t>
  </si>
  <si>
    <t>PAGO A PROVEEDORES J500974213 FARMACIA GUAMACHO</t>
  </si>
  <si>
    <t xml:space="preserve">TRANSF RECIBIDA BDV V26437657 DALGLEDYS COBIS  </t>
  </si>
  <si>
    <t xml:space="preserve">TRANSF RECIBIDA BDV V24351289 AIRAM SALGUEIRO  </t>
  </si>
  <si>
    <t xml:space="preserve">PAGOMOVIL BDV V13616132 FRANK      ROMERO      </t>
  </si>
  <si>
    <t xml:space="preserve">PAGO RECIBIDO BDV J407195310 VARIEDADES JJL CA </t>
  </si>
  <si>
    <t xml:space="preserve">TRANSF RECIBIDA BDV E82170418 KAIQUAN RUAN     </t>
  </si>
  <si>
    <t xml:space="preserve">TRANSF RECIBIDA BDV E82288507 LIANHUO FENG     </t>
  </si>
  <si>
    <t xml:space="preserve">PAGOMOVIL BDV V18048601 YOLMARY    PEROZO      </t>
  </si>
  <si>
    <t xml:space="preserve">TRANSF RECIBIDA BDV V20931090 ERASMY BLANCO    </t>
  </si>
  <si>
    <t xml:space="preserve">TRANSF RECIBIDA BDV V10702311 SAMIR MOHAMAD    </t>
  </si>
  <si>
    <t>PAGO RECIBIDO OTROS BANCOS 0108 J405656298</t>
  </si>
  <si>
    <t xml:space="preserve">PAGOMOVIL BDV V26602342 ALEXMAR    MEJIAS      </t>
  </si>
  <si>
    <t>PAGO RECIBIDO OTROS BANCOS 0163 V9526685</t>
  </si>
  <si>
    <t xml:space="preserve">TRANSF RECIBIDA BDV V07496723 MIRLA RODRIGUEZ  </t>
  </si>
  <si>
    <t>PAGO RECIBIDO OTROS BANCOS 0134 V12786461</t>
  </si>
  <si>
    <t xml:space="preserve">TRANSF RECIBIDA BDV V17925232 PRISCILA RAMONES </t>
  </si>
  <si>
    <t xml:space="preserve">TRANSF RECIBIDA BDV V17630618 ROSANA COSTERO   </t>
  </si>
  <si>
    <t xml:space="preserve">TRANSF RECIBIDA BDV V18047369 LUIS LUBO        </t>
  </si>
  <si>
    <t xml:space="preserve">TRANSF RECIBIDA BDV V21666484 CESARYLIS ARIAS  </t>
  </si>
  <si>
    <t xml:space="preserve">TRANSF RECIBIDA BDV V12184320 MARBELYS RAMIREZ </t>
  </si>
  <si>
    <t>PAGOMOVIL OTROS BANCOS 0134 04146829998</t>
  </si>
  <si>
    <t xml:space="preserve">TRANSF RECIBIDA BDV V15311321 ELVIS ATACHO     </t>
  </si>
  <si>
    <t xml:space="preserve">TRANSF RECIBIDA BDV V11806474 YON LEAL         </t>
  </si>
  <si>
    <t>TRANSF RECIBIDA BDV V20570539 APOLINAR VILLALOB</t>
  </si>
  <si>
    <t>TRANSF RECIBIDA BDV V10702311 SAMIR JOSE  MOHAM</t>
  </si>
  <si>
    <t>TRANSF RECIBIDA BDV V19007198 INES MARIA  MARTI</t>
  </si>
  <si>
    <t>TRANSF RECIBIDA BDV V12178456 JORGE ALFONSO  MO</t>
  </si>
  <si>
    <t>PAGO RECIBIDO OTROS BANCOS 0191 J506455005</t>
  </si>
  <si>
    <t xml:space="preserve">TRANSF RECIBIDA BDV V14735627 FREDDY LOPEZ     </t>
  </si>
  <si>
    <t xml:space="preserve">PAGOMOVIL BDV V25925390 ANDRIMAR   JIMENEZ     </t>
  </si>
  <si>
    <t xml:space="preserve">TRANSF RECIBIDA BDV V19220788 ARMANDO REYES    </t>
  </si>
  <si>
    <t xml:space="preserve">TRANSF RECIBIDA BDV V12586247 CARLOS ALVAREZ   </t>
  </si>
  <si>
    <t>PAGO RECIBIDO OTROS BANCOS 0191 J506407337</t>
  </si>
  <si>
    <t xml:space="preserve">TRANSF RECIBIDA BDV V16082750 MARIANA HERNADEZ </t>
  </si>
  <si>
    <t>TRANSF RECIBIDA BDV V11362056 IRMA  LOAIZA  CAN</t>
  </si>
  <si>
    <t xml:space="preserve">TRANSF RECIBIDA BDV V19005605 JOHANNY ARIAS    </t>
  </si>
  <si>
    <t>TRANSF RECIBIDA BDV V21669286 WILMARIS JOSEFINA</t>
  </si>
  <si>
    <t>TRANSF RECIBIDA BDV V07771388 ANA BEATRIZ  AULA</t>
  </si>
  <si>
    <t xml:space="preserve">TRANSF RECIBIDA BDV V12489333 SANDRA SERRANO   </t>
  </si>
  <si>
    <t xml:space="preserve">PAGOMOVIL BDV V11805253 ROBERTO    LUGO        </t>
  </si>
  <si>
    <t xml:space="preserve">PAGOMOVIL BDV V31875092 NELSON     LAGUNA      </t>
  </si>
  <si>
    <t xml:space="preserve">PAGOMOVIL BDV V15460345 JESUS      ARIAS       </t>
  </si>
  <si>
    <t xml:space="preserve">PAGOMOVIL BDV V27273834 YUSLUIS    RUIZ        </t>
  </si>
  <si>
    <t xml:space="preserve">PAGOMOVIL BDV V19007739 ANAIS      BARBERA     </t>
  </si>
  <si>
    <t xml:space="preserve">PAGOMOVIL BDV V30295567 ANABEL     GONZALEZ    </t>
  </si>
  <si>
    <t>REFERENCIA</t>
  </si>
  <si>
    <t>20/05/2025</t>
  </si>
  <si>
    <t>PAGO A PROVEEDORES LOTE 000000030477246</t>
  </si>
  <si>
    <t>09/05/2025</t>
  </si>
  <si>
    <t>PAGO A PROVEEDORES LOTE 000000030090522</t>
  </si>
  <si>
    <t>29/05/2025</t>
  </si>
  <si>
    <t>26/05/2025</t>
  </si>
  <si>
    <t>28/05/2025</t>
  </si>
  <si>
    <t>23/05/2025</t>
  </si>
  <si>
    <t>22/05/2025</t>
  </si>
  <si>
    <t>31/05/2025</t>
  </si>
  <si>
    <t>10/05/2025</t>
  </si>
  <si>
    <t>24/05/2025</t>
  </si>
  <si>
    <t>06/05/2025</t>
  </si>
  <si>
    <t>12/05/2025</t>
  </si>
  <si>
    <t>01/05/2025</t>
  </si>
  <si>
    <t>27/05/2025</t>
  </si>
  <si>
    <t>21/05/2025</t>
  </si>
  <si>
    <t>15/05/2025</t>
  </si>
  <si>
    <t>08/05/2025</t>
  </si>
  <si>
    <t>05/05/2025</t>
  </si>
  <si>
    <t>30/05/2025</t>
  </si>
  <si>
    <t>07/05/2025</t>
  </si>
  <si>
    <t>11/05/2025</t>
  </si>
  <si>
    <t>13/05/2025</t>
  </si>
  <si>
    <t>02/05/2025</t>
  </si>
  <si>
    <t>384192</t>
  </si>
  <si>
    <t>101341</t>
  </si>
  <si>
    <t>544813</t>
  </si>
  <si>
    <t>801032</t>
  </si>
  <si>
    <t>435825</t>
  </si>
  <si>
    <t>642920</t>
  </si>
  <si>
    <t>000003</t>
  </si>
  <si>
    <t>315602</t>
  </si>
  <si>
    <t>295023</t>
  </si>
  <si>
    <t>466513</t>
  </si>
  <si>
    <t>569357</t>
  </si>
  <si>
    <t>595555</t>
  </si>
  <si>
    <t>001297</t>
  </si>
  <si>
    <t>981884</t>
  </si>
  <si>
    <t>401112</t>
  </si>
  <si>
    <t>152676</t>
  </si>
  <si>
    <t>651934</t>
  </si>
  <si>
    <t>037727</t>
  </si>
  <si>
    <t>765179</t>
  </si>
  <si>
    <t>775235</t>
  </si>
  <si>
    <t>426271</t>
  </si>
  <si>
    <t>054726</t>
  </si>
  <si>
    <t>062588</t>
  </si>
  <si>
    <t>766855</t>
  </si>
  <si>
    <t>449137</t>
  </si>
  <si>
    <t>528748</t>
  </si>
  <si>
    <t>300026</t>
  </si>
  <si>
    <t>313093</t>
  </si>
  <si>
    <t>495565</t>
  </si>
  <si>
    <t>440381</t>
  </si>
  <si>
    <t>076906</t>
  </si>
  <si>
    <t>055249</t>
  </si>
  <si>
    <t>328664</t>
  </si>
  <si>
    <t>952020</t>
  </si>
  <si>
    <t>019763</t>
  </si>
  <si>
    <t>214365</t>
  </si>
  <si>
    <t>577721</t>
  </si>
  <si>
    <t>008393</t>
  </si>
  <si>
    <t>692767</t>
  </si>
  <si>
    <t>693338</t>
  </si>
  <si>
    <t>482095</t>
  </si>
  <si>
    <t>795114</t>
  </si>
  <si>
    <t>008439</t>
  </si>
  <si>
    <t>776794</t>
  </si>
  <si>
    <t>766016</t>
  </si>
  <si>
    <t>965069</t>
  </si>
  <si>
    <t>048526</t>
  </si>
  <si>
    <t>166924</t>
  </si>
  <si>
    <t>520150</t>
  </si>
  <si>
    <t>867417</t>
  </si>
  <si>
    <t>637485</t>
  </si>
  <si>
    <t>638191</t>
  </si>
  <si>
    <t>910377</t>
  </si>
  <si>
    <t>088289</t>
  </si>
  <si>
    <t>770985</t>
  </si>
  <si>
    <t>518137</t>
  </si>
  <si>
    <t>892543</t>
  </si>
  <si>
    <t>235166</t>
  </si>
  <si>
    <t>008484</t>
  </si>
  <si>
    <t>008503</t>
  </si>
  <si>
    <t>195550</t>
  </si>
  <si>
    <t>324462</t>
  </si>
  <si>
    <t>194614</t>
  </si>
  <si>
    <t>042711</t>
  </si>
  <si>
    <t>073497</t>
  </si>
  <si>
    <t>695403</t>
  </si>
  <si>
    <t>167761</t>
  </si>
  <si>
    <t>871245</t>
  </si>
  <si>
    <t>274566</t>
  </si>
  <si>
    <t>272987</t>
  </si>
  <si>
    <t>699653</t>
  </si>
  <si>
    <t>118608</t>
  </si>
  <si>
    <t>549999</t>
  </si>
  <si>
    <t>284185</t>
  </si>
  <si>
    <t>284099</t>
  </si>
  <si>
    <t>915264</t>
  </si>
  <si>
    <t>796918</t>
  </si>
  <si>
    <t>419603</t>
  </si>
  <si>
    <t>711600</t>
  </si>
  <si>
    <t>599492</t>
  </si>
  <si>
    <t>754308</t>
  </si>
  <si>
    <t>003843</t>
  </si>
  <si>
    <t>697042</t>
  </si>
  <si>
    <t>008906</t>
  </si>
  <si>
    <t>869116</t>
  </si>
  <si>
    <t>408288</t>
  </si>
  <si>
    <t>554529</t>
  </si>
  <si>
    <t>474235</t>
  </si>
  <si>
    <t>723058</t>
  </si>
  <si>
    <t>147196</t>
  </si>
  <si>
    <t>360969</t>
  </si>
  <si>
    <t>368725</t>
  </si>
  <si>
    <t>632577</t>
  </si>
  <si>
    <t>624234</t>
  </si>
  <si>
    <t>800695</t>
  </si>
  <si>
    <t>128367</t>
  </si>
  <si>
    <t>614006</t>
  </si>
  <si>
    <t>853805</t>
  </si>
  <si>
    <t>212715</t>
  </si>
  <si>
    <t>939376</t>
  </si>
  <si>
    <t>667659</t>
  </si>
  <si>
    <t>600341</t>
  </si>
  <si>
    <t>771074</t>
  </si>
  <si>
    <t>000543</t>
  </si>
  <si>
    <t>972715</t>
  </si>
  <si>
    <t>602987</t>
  </si>
  <si>
    <t>697068</t>
  </si>
  <si>
    <t>569066</t>
  </si>
  <si>
    <t>944177</t>
  </si>
  <si>
    <t>671698</t>
  </si>
  <si>
    <t>309820</t>
  </si>
  <si>
    <t>450321</t>
  </si>
  <si>
    <t>450839</t>
  </si>
  <si>
    <t>424761</t>
  </si>
  <si>
    <t>427298</t>
  </si>
  <si>
    <t>428836</t>
  </si>
  <si>
    <t>158438</t>
  </si>
  <si>
    <t>156944</t>
  </si>
  <si>
    <t>003152</t>
  </si>
  <si>
    <t>929211</t>
  </si>
  <si>
    <t>357873</t>
  </si>
  <si>
    <t>430200</t>
  </si>
  <si>
    <t>966985</t>
  </si>
  <si>
    <t>031562</t>
  </si>
  <si>
    <t>462771</t>
  </si>
  <si>
    <t>437754</t>
  </si>
  <si>
    <t>853144</t>
  </si>
  <si>
    <t>169941</t>
  </si>
  <si>
    <t>046721</t>
  </si>
  <si>
    <t>635810</t>
  </si>
  <si>
    <t>083116</t>
  </si>
  <si>
    <t>022578</t>
  </si>
  <si>
    <t>391179</t>
  </si>
  <si>
    <t>466388</t>
  </si>
  <si>
    <t>760136</t>
  </si>
  <si>
    <t>008699</t>
  </si>
  <si>
    <t>261579</t>
  </si>
  <si>
    <t>476647</t>
  </si>
  <si>
    <t>007022</t>
  </si>
  <si>
    <t>467609</t>
  </si>
  <si>
    <t>093121</t>
  </si>
  <si>
    <t>116263</t>
  </si>
  <si>
    <t>271557</t>
  </si>
  <si>
    <t>927897</t>
  </si>
  <si>
    <t>834606</t>
  </si>
  <si>
    <t>160277</t>
  </si>
  <si>
    <t>189000</t>
  </si>
  <si>
    <t>008693</t>
  </si>
  <si>
    <t>174881</t>
  </si>
  <si>
    <t>480151</t>
  </si>
  <si>
    <t>267740</t>
  </si>
  <si>
    <t>481221</t>
  </si>
  <si>
    <t>497847</t>
  </si>
  <si>
    <t>234267</t>
  </si>
  <si>
    <t>444664</t>
  </si>
  <si>
    <t>499963</t>
  </si>
  <si>
    <t>903927</t>
  </si>
  <si>
    <t>597352</t>
  </si>
  <si>
    <t>193742</t>
  </si>
  <si>
    <t>160049</t>
  </si>
  <si>
    <t>487065</t>
  </si>
  <si>
    <t>813880</t>
  </si>
  <si>
    <t>238893</t>
  </si>
  <si>
    <t>482500</t>
  </si>
  <si>
    <t>400151</t>
  </si>
  <si>
    <t>522326</t>
  </si>
  <si>
    <t>886643</t>
  </si>
  <si>
    <t>386843</t>
  </si>
  <si>
    <t>750259</t>
  </si>
  <si>
    <t>715639</t>
  </si>
  <si>
    <t>648288</t>
  </si>
  <si>
    <t>176495</t>
  </si>
  <si>
    <t>780455</t>
  </si>
  <si>
    <t>895645</t>
  </si>
  <si>
    <t>553272</t>
  </si>
  <si>
    <t>269181</t>
  </si>
  <si>
    <t>054567</t>
  </si>
  <si>
    <t>272009</t>
  </si>
  <si>
    <t>008639</t>
  </si>
  <si>
    <t>008636</t>
  </si>
  <si>
    <t>833192</t>
  </si>
  <si>
    <t>453153</t>
  </si>
  <si>
    <t>202738</t>
  </si>
  <si>
    <t>871364</t>
  </si>
  <si>
    <t>580721</t>
  </si>
  <si>
    <t>584624</t>
  </si>
  <si>
    <t>236357</t>
  </si>
  <si>
    <t>544081</t>
  </si>
  <si>
    <t>142187</t>
  </si>
  <si>
    <t>558872</t>
  </si>
  <si>
    <t>457073</t>
  </si>
  <si>
    <t>168950</t>
  </si>
  <si>
    <t>783720</t>
  </si>
  <si>
    <t>696853</t>
  </si>
  <si>
    <t>577534</t>
  </si>
  <si>
    <t>742450</t>
  </si>
  <si>
    <t>857343</t>
  </si>
  <si>
    <t>804199</t>
  </si>
  <si>
    <t>932582</t>
  </si>
  <si>
    <t>938442</t>
  </si>
  <si>
    <t>009568</t>
  </si>
  <si>
    <t/>
  </si>
  <si>
    <t>883097</t>
  </si>
  <si>
    <t>722515</t>
  </si>
  <si>
    <t>026367</t>
  </si>
  <si>
    <t>006402</t>
  </si>
  <si>
    <t>006403</t>
  </si>
  <si>
    <t>052025</t>
  </si>
  <si>
    <t>296640</t>
  </si>
  <si>
    <t>026686</t>
  </si>
  <si>
    <t>026309</t>
  </si>
  <si>
    <t>027081</t>
  </si>
  <si>
    <t>026262</t>
  </si>
  <si>
    <t>345694</t>
  </si>
  <si>
    <t>026366</t>
  </si>
  <si>
    <t>026221</t>
  </si>
  <si>
    <t>026763</t>
  </si>
  <si>
    <t>025506</t>
  </si>
  <si>
    <t>026081</t>
  </si>
  <si>
    <t>026710</t>
  </si>
  <si>
    <t>124442</t>
  </si>
  <si>
    <t>025505</t>
  </si>
  <si>
    <t>026220</t>
  </si>
  <si>
    <t>027082</t>
  </si>
  <si>
    <t>026685</t>
  </si>
  <si>
    <t>026762</t>
  </si>
  <si>
    <t>026263</t>
  </si>
  <si>
    <t>631327</t>
  </si>
  <si>
    <t>025744</t>
  </si>
  <si>
    <t>026082</t>
  </si>
  <si>
    <t>026103</t>
  </si>
  <si>
    <t>764299</t>
  </si>
  <si>
    <t>995369</t>
  </si>
  <si>
    <t>573259</t>
  </si>
  <si>
    <t>026397</t>
  </si>
  <si>
    <t>026398</t>
  </si>
  <si>
    <t>025627</t>
  </si>
  <si>
    <t>753077</t>
  </si>
  <si>
    <t>773771</t>
  </si>
  <si>
    <t>006269</t>
  </si>
  <si>
    <t>FECHA EFECTIVO</t>
  </si>
  <si>
    <t>CODIGO</t>
  </si>
  <si>
    <t>TRANSF RECIBIDA BDV V06894686 WILFREDO OMAR  VI</t>
  </si>
  <si>
    <t>PAGO A PROVEEDORES G200163135 CUERPO DE BOMBERO</t>
  </si>
  <si>
    <t xml:space="preserve">TRANSF RECIBIDA BDV V08702093 XIOMARA DEL  CAR </t>
  </si>
  <si>
    <t>PAGOMOVIL OTROS BANCOS 0134 04126812516</t>
  </si>
  <si>
    <t>PAGOMOVIL OTROS BANCOS 0105 04144370036</t>
  </si>
  <si>
    <t xml:space="preserve">PAGOMOVIL BDV V14262884 YULIS      BERMUDEZ    </t>
  </si>
  <si>
    <t xml:space="preserve">TRANSF RECIBIDA BDV V17924370 CARMEN ZAVALA    </t>
  </si>
  <si>
    <t xml:space="preserve">PAGOMOVIL BDV V26885839 DELSIMAR   PAZ         </t>
  </si>
  <si>
    <t xml:space="preserve">PAGOMOVIL BDV V17102905 IRIS       SANCHEZ     </t>
  </si>
  <si>
    <t xml:space="preserve">PAGOMOVIL BDV V24718590 MARYELIS   HERNANDEZ   </t>
  </si>
  <si>
    <t xml:space="preserve">TRANSF RECIBIDA BDV V24307469 YILBER ENRIQUEZ  </t>
  </si>
  <si>
    <t>507599</t>
  </si>
  <si>
    <t>993505</t>
  </si>
  <si>
    <t>454062</t>
  </si>
  <si>
    <t>454445</t>
  </si>
  <si>
    <t>548631</t>
  </si>
  <si>
    <t>225722</t>
  </si>
  <si>
    <t>630211</t>
  </si>
  <si>
    <t>640951</t>
  </si>
  <si>
    <t>041071</t>
  </si>
  <si>
    <t>831707</t>
  </si>
  <si>
    <t>413010</t>
  </si>
  <si>
    <t>497063</t>
  </si>
  <si>
    <t>263159</t>
  </si>
  <si>
    <t>505916</t>
  </si>
  <si>
    <t>532762</t>
  </si>
  <si>
    <t>611640</t>
  </si>
  <si>
    <t>690869</t>
  </si>
  <si>
    <t>481646</t>
  </si>
  <si>
    <t>620416</t>
  </si>
  <si>
    <t>325100</t>
  </si>
  <si>
    <t>641560</t>
  </si>
  <si>
    <t>058281</t>
  </si>
  <si>
    <t>626594</t>
  </si>
  <si>
    <t>196635</t>
  </si>
  <si>
    <t>185750</t>
  </si>
  <si>
    <t>243506</t>
  </si>
  <si>
    <t>299184</t>
  </si>
  <si>
    <t>609502</t>
  </si>
  <si>
    <t>611522</t>
  </si>
  <si>
    <t>823529</t>
  </si>
  <si>
    <t>915215</t>
  </si>
  <si>
    <t>957532</t>
  </si>
  <si>
    <t>124468</t>
  </si>
  <si>
    <t>842931</t>
  </si>
  <si>
    <t>843964</t>
  </si>
  <si>
    <t>BIOPAGO EFECTIVO EL MES PASADO (ABRIL 2025)</t>
  </si>
  <si>
    <t>31/5/2025</t>
  </si>
  <si>
    <t>MAYO 2025</t>
  </si>
  <si>
    <t>MAYO</t>
  </si>
  <si>
    <t>SALDO AL 01/05/2025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</si>
</sst>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0;[Red]#,##0.00"/>
    <numFmt numFmtId="166" formatCode="000000000"/>
    <numFmt numFmtId="167" formatCode="[$-200A]General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rgb="FF00206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2"/>
      <color rgb="FF000000"/>
      <name val="Arial MT"/>
      <family val="2"/>
    </font>
    <font>
      <sz val="12"/>
      <name val="Arial MT"/>
    </font>
    <font>
      <sz val="10"/>
      <color rgb="FF000000"/>
      <name val="Times New Roman"/>
      <family val="1"/>
    </font>
    <font>
      <sz val="11"/>
      <color rgb="FF000000"/>
      <name val="Arial MT"/>
      <family val="2"/>
    </font>
    <font>
      <sz val="11"/>
      <name val="Arial MT"/>
      <family val="2"/>
    </font>
    <font>
      <sz val="12"/>
      <name val="Arial"/>
      <family val="2"/>
    </font>
    <font>
      <sz val="11"/>
      <color theme="1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9"/>
      <color theme="1"/>
      <name val="Calibri Light"/>
      <family val="1"/>
      <scheme val="major"/>
    </font>
    <font>
      <b/>
      <sz val="10"/>
      <name val="Calibri Light"/>
      <family val="1"/>
      <scheme val="major"/>
    </font>
    <font>
      <sz val="8"/>
      <color rgb="FF000000"/>
      <name val="Arial MT"/>
      <family val="2"/>
    </font>
    <font>
      <b/>
      <sz val="14"/>
      <color theme="1"/>
      <name val="Calibri Light"/>
      <family val="1"/>
      <scheme val="major"/>
    </font>
    <font>
      <b/>
      <i/>
      <sz val="8"/>
      <name val="Calibri Light"/>
      <family val="1"/>
      <scheme val="major"/>
    </font>
    <font>
      <b/>
      <sz val="8"/>
      <color theme="1"/>
      <name val="Calibri Light"/>
      <family val="1"/>
      <scheme val="major"/>
    </font>
    <font>
      <i/>
      <sz val="9"/>
      <name val="Calibri Light"/>
      <family val="1"/>
      <scheme val="major"/>
    </font>
    <font>
      <sz val="9"/>
      <color theme="1"/>
      <name val="Calibri Light"/>
      <family val="1"/>
      <scheme val="major"/>
    </font>
    <font>
      <b/>
      <i/>
      <sz val="10"/>
      <name val="Calibri Light"/>
      <family val="1"/>
      <scheme val="major"/>
    </font>
    <font>
      <sz val="12"/>
      <color rgb="FF000000"/>
      <name val="Calibri"/>
      <family val="2"/>
    </font>
    <font>
      <b/>
      <sz val="12"/>
      <color theme="1"/>
      <name val="Calibri Light"/>
      <family val="2"/>
      <scheme val="maj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8"/>
      <name val="Calibri Light"/>
      <family val="1"/>
      <scheme val="major"/>
    </font>
    <font>
      <b/>
      <sz val="14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1" fillId="0" borderId="0"/>
    <xf numFmtId="164" fontId="1" fillId="0" borderId="0" applyFont="0" applyFill="0" applyBorder="0" applyAlignment="0" applyProtection="0"/>
    <xf numFmtId="167" fontId="30" fillId="0" borderId="0" applyBorder="0" applyProtection="0"/>
    <xf numFmtId="0" fontId="41" fillId="6" borderId="0" applyNumberFormat="0" applyBorder="0" applyAlignment="0" applyProtection="0"/>
    <xf numFmtId="0" fontId="1" fillId="8" borderId="0" applyNumberFormat="0" applyBorder="0" applyAlignment="0" applyProtection="0"/>
  </cellStyleXfs>
  <cellXfs count="198">
    <xf numFmtId="0" fontId="0" fillId="0" borderId="0" xfId="0"/>
    <xf numFmtId="164" fontId="0" fillId="0" borderId="0" xfId="1" applyFont="1"/>
    <xf numFmtId="164" fontId="0" fillId="0" borderId="0" xfId="0" applyNumberFormat="1"/>
    <xf numFmtId="14" fontId="0" fillId="0" borderId="0" xfId="0" applyNumberFormat="1"/>
    <xf numFmtId="49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/>
    <xf numFmtId="164" fontId="4" fillId="0" borderId="0" xfId="1" applyFont="1" applyFill="1" applyBorder="1" applyAlignment="1">
      <alignment horizontal="left"/>
    </xf>
    <xf numFmtId="0" fontId="6" fillId="0" borderId="0" xfId="0" applyFont="1"/>
    <xf numFmtId="164" fontId="4" fillId="0" borderId="2" xfId="1" applyFont="1" applyFill="1" applyBorder="1" applyAlignment="1">
      <alignment horizontal="left"/>
    </xf>
    <xf numFmtId="164" fontId="4" fillId="0" borderId="5" xfId="1" applyFont="1" applyFill="1" applyBorder="1" applyAlignment="1">
      <alignment horizontal="center"/>
    </xf>
    <xf numFmtId="164" fontId="5" fillId="2" borderId="6" xfId="1" applyFont="1" applyFill="1" applyBorder="1"/>
    <xf numFmtId="0" fontId="3" fillId="2" borderId="0" xfId="0" applyFont="1" applyFill="1"/>
    <xf numFmtId="164" fontId="4" fillId="2" borderId="8" xfId="1" applyFont="1" applyFill="1" applyBorder="1" applyAlignment="1"/>
    <xf numFmtId="164" fontId="5" fillId="2" borderId="6" xfId="1" applyFont="1" applyFill="1" applyBorder="1" applyAlignment="1">
      <alignment horizontal="right"/>
    </xf>
    <xf numFmtId="14" fontId="3" fillId="0" borderId="0" xfId="0" applyNumberFormat="1" applyFont="1" applyAlignment="1">
      <alignment horizontal="right"/>
    </xf>
    <xf numFmtId="0" fontId="3" fillId="0" borderId="8" xfId="0" applyFont="1" applyBorder="1"/>
    <xf numFmtId="164" fontId="3" fillId="0" borderId="7" xfId="1" applyFont="1" applyBorder="1" applyAlignment="1">
      <alignment horizontal="right"/>
    </xf>
    <xf numFmtId="4" fontId="3" fillId="0" borderId="0" xfId="0" applyNumberFormat="1" applyFont="1"/>
    <xf numFmtId="164" fontId="3" fillId="0" borderId="0" xfId="1" applyFont="1" applyFill="1" applyAlignment="1">
      <alignment horizontal="left"/>
    </xf>
    <xf numFmtId="14" fontId="3" fillId="0" borderId="0" xfId="0" applyNumberFormat="1" applyFont="1"/>
    <xf numFmtId="164" fontId="3" fillId="0" borderId="0" xfId="1" applyFont="1" applyFill="1"/>
    <xf numFmtId="164" fontId="3" fillId="0" borderId="0" xfId="0" applyNumberFormat="1" applyFont="1"/>
    <xf numFmtId="49" fontId="8" fillId="0" borderId="12" xfId="0" applyNumberFormat="1" applyFont="1" applyBorder="1" applyAlignment="1">
      <alignment horizontal="right" vertical="top" shrinkToFit="1"/>
    </xf>
    <xf numFmtId="0" fontId="10" fillId="0" borderId="7" xfId="0" applyFont="1" applyBorder="1" applyAlignment="1">
      <alignment horizontal="left" vertical="top" wrapText="1"/>
    </xf>
    <xf numFmtId="14" fontId="8" fillId="2" borderId="0" xfId="2" applyNumberFormat="1" applyFont="1" applyFill="1" applyAlignment="1">
      <alignment horizontal="right" vertical="top" shrinkToFit="1"/>
    </xf>
    <xf numFmtId="4" fontId="9" fillId="0" borderId="7" xfId="0" applyNumberFormat="1" applyFont="1" applyBorder="1" applyAlignment="1">
      <alignment horizontal="right" vertical="top" shrinkToFit="1"/>
    </xf>
    <xf numFmtId="49" fontId="8" fillId="0" borderId="8" xfId="0" applyNumberFormat="1" applyFont="1" applyBorder="1" applyAlignment="1">
      <alignment horizontal="right" vertical="top" shrinkToFit="1"/>
    </xf>
    <xf numFmtId="4" fontId="9" fillId="0" borderId="6" xfId="0" applyNumberFormat="1" applyFont="1" applyBorder="1" applyAlignment="1">
      <alignment vertical="top" shrinkToFit="1"/>
    </xf>
    <xf numFmtId="1" fontId="8" fillId="0" borderId="7" xfId="0" applyNumberFormat="1" applyFont="1" applyBorder="1" applyAlignment="1">
      <alignment horizontal="right" vertical="top" shrinkToFit="1"/>
    </xf>
    <xf numFmtId="4" fontId="12" fillId="0" borderId="7" xfId="0" applyNumberFormat="1" applyFont="1" applyBorder="1" applyAlignment="1">
      <alignment horizontal="right" vertical="top" shrinkToFit="1"/>
    </xf>
    <xf numFmtId="2" fontId="12" fillId="0" borderId="8" xfId="0" applyNumberFormat="1" applyFont="1" applyBorder="1" applyAlignment="1">
      <alignment vertical="top" shrinkToFit="1"/>
    </xf>
    <xf numFmtId="4" fontId="12" fillId="0" borderId="0" xfId="0" applyNumberFormat="1" applyFont="1" applyAlignment="1">
      <alignment vertical="top" shrinkToFit="1"/>
    </xf>
    <xf numFmtId="1" fontId="12" fillId="0" borderId="7" xfId="0" applyNumberFormat="1" applyFont="1" applyBorder="1" applyAlignment="1">
      <alignment horizontal="right" vertical="top" shrinkToFit="1"/>
    </xf>
    <xf numFmtId="0" fontId="13" fillId="0" borderId="7" xfId="0" applyFont="1" applyBorder="1" applyAlignment="1">
      <alignment horizontal="left" vertical="top" wrapText="1"/>
    </xf>
    <xf numFmtId="4" fontId="12" fillId="0" borderId="8" xfId="0" applyNumberFormat="1" applyFont="1" applyBorder="1" applyAlignment="1">
      <alignment vertical="top" shrinkToFit="1"/>
    </xf>
    <xf numFmtId="0" fontId="0" fillId="0" borderId="7" xfId="0" applyBorder="1" applyAlignment="1">
      <alignment horizontal="right" wrapText="1"/>
    </xf>
    <xf numFmtId="2" fontId="12" fillId="0" borderId="7" xfId="0" applyNumberFormat="1" applyFont="1" applyBorder="1" applyAlignment="1">
      <alignment horizontal="right" vertical="top" shrinkToFit="1"/>
    </xf>
    <xf numFmtId="164" fontId="12" fillId="0" borderId="8" xfId="1" applyFont="1" applyFill="1" applyBorder="1" applyAlignment="1">
      <alignment vertical="top" shrinkToFit="1"/>
    </xf>
    <xf numFmtId="2" fontId="12" fillId="0" borderId="0" xfId="0" applyNumberFormat="1" applyFont="1" applyAlignment="1">
      <alignment vertical="top" shrinkToFit="1"/>
    </xf>
    <xf numFmtId="2" fontId="12" fillId="0" borderId="7" xfId="0" applyNumberFormat="1" applyFont="1" applyBorder="1" applyAlignment="1">
      <alignment vertical="top" shrinkToFit="1"/>
    </xf>
    <xf numFmtId="1" fontId="12" fillId="0" borderId="8" xfId="0" applyNumberFormat="1" applyFont="1" applyBorder="1" applyAlignment="1">
      <alignment horizontal="right" vertical="top" shrinkToFit="1"/>
    </xf>
    <xf numFmtId="4" fontId="12" fillId="0" borderId="7" xfId="0" applyNumberFormat="1" applyFont="1" applyBorder="1" applyAlignment="1">
      <alignment vertical="top" shrinkToFit="1"/>
    </xf>
    <xf numFmtId="1" fontId="12" fillId="0" borderId="0" xfId="0" applyNumberFormat="1" applyFont="1" applyAlignment="1">
      <alignment horizontal="right" vertical="top" shrinkToFit="1"/>
    </xf>
    <xf numFmtId="164" fontId="5" fillId="2" borderId="7" xfId="1" applyFont="1" applyFill="1" applyBorder="1" applyAlignment="1"/>
    <xf numFmtId="4" fontId="7" fillId="2" borderId="0" xfId="0" applyNumberFormat="1" applyFont="1" applyFill="1"/>
    <xf numFmtId="4" fontId="14" fillId="2" borderId="7" xfId="0" applyNumberFormat="1" applyFont="1" applyFill="1" applyBorder="1" applyAlignment="1">
      <alignment horizontal="right"/>
    </xf>
    <xf numFmtId="0" fontId="7" fillId="2" borderId="0" xfId="0" applyFont="1" applyFill="1" applyAlignment="1">
      <alignment horizontal="right"/>
    </xf>
    <xf numFmtId="164" fontId="4" fillId="2" borderId="7" xfId="1" applyFont="1" applyFill="1" applyBorder="1" applyAlignment="1"/>
    <xf numFmtId="0" fontId="7" fillId="2" borderId="0" xfId="0" applyFont="1" applyFill="1" applyAlignment="1">
      <alignment horizontal="center"/>
    </xf>
    <xf numFmtId="164" fontId="5" fillId="2" borderId="4" xfId="1" applyFont="1" applyFill="1" applyBorder="1"/>
    <xf numFmtId="4" fontId="7" fillId="2" borderId="13" xfId="0" applyNumberFormat="1" applyFont="1" applyFill="1" applyBorder="1"/>
    <xf numFmtId="4" fontId="4" fillId="2" borderId="7" xfId="0" applyNumberFormat="1" applyFont="1" applyFill="1" applyBorder="1" applyAlignment="1">
      <alignment horizontal="right"/>
    </xf>
    <xf numFmtId="0" fontId="4" fillId="2" borderId="5" xfId="0" applyFont="1" applyFill="1" applyBorder="1"/>
    <xf numFmtId="164" fontId="4" fillId="2" borderId="5" xfId="1" applyFont="1" applyFill="1" applyBorder="1" applyAlignment="1">
      <alignment horizontal="center"/>
    </xf>
    <xf numFmtId="17" fontId="4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4" fillId="2" borderId="1" xfId="1" applyFont="1" applyFill="1" applyBorder="1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left"/>
    </xf>
    <xf numFmtId="164" fontId="0" fillId="0" borderId="0" xfId="1" applyFont="1" applyBorder="1"/>
    <xf numFmtId="0" fontId="16" fillId="0" borderId="0" xfId="0" applyFont="1" applyAlignment="1">
      <alignment horizontal="left"/>
    </xf>
    <xf numFmtId="0" fontId="16" fillId="0" borderId="0" xfId="0" applyFont="1"/>
    <xf numFmtId="0" fontId="17" fillId="0" borderId="0" xfId="0" applyFont="1" applyAlignment="1">
      <alignment wrapText="1"/>
    </xf>
    <xf numFmtId="0" fontId="20" fillId="3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/>
    </xf>
    <xf numFmtId="4" fontId="0" fillId="0" borderId="0" xfId="0" applyNumberFormat="1"/>
    <xf numFmtId="0" fontId="23" fillId="4" borderId="1" xfId="0" applyFont="1" applyFill="1" applyBorder="1" applyAlignment="1">
      <alignment horizontal="center" wrapText="1"/>
    </xf>
    <xf numFmtId="14" fontId="25" fillId="0" borderId="1" xfId="0" applyNumberFormat="1" applyFont="1" applyBorder="1" applyAlignment="1">
      <alignment horizontal="center"/>
    </xf>
    <xf numFmtId="164" fontId="24" fillId="0" borderId="0" xfId="1" applyFont="1" applyFill="1" applyBorder="1" applyAlignment="1">
      <alignment horizontal="center"/>
    </xf>
    <xf numFmtId="49" fontId="26" fillId="0" borderId="1" xfId="0" applyNumberFormat="1" applyFont="1" applyBorder="1" applyAlignment="1">
      <alignment horizontal="center" vertical="center"/>
    </xf>
    <xf numFmtId="166" fontId="28" fillId="0" borderId="1" xfId="0" applyNumberFormat="1" applyFont="1" applyBorder="1" applyAlignment="1">
      <alignment vertical="top" shrinkToFit="1"/>
    </xf>
    <xf numFmtId="16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167" fontId="31" fillId="0" borderId="0" xfId="4" applyFont="1" applyBorder="1" applyAlignment="1">
      <alignment vertical="center"/>
    </xf>
    <xf numFmtId="167" fontId="31" fillId="0" borderId="8" xfId="4" applyFont="1" applyBorder="1" applyAlignment="1">
      <alignment vertical="center"/>
    </xf>
    <xf numFmtId="14" fontId="32" fillId="0" borderId="1" xfId="0" applyNumberFormat="1" applyFont="1" applyBorder="1" applyAlignment="1">
      <alignment horizontal="center"/>
    </xf>
    <xf numFmtId="49" fontId="33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23" fillId="4" borderId="1" xfId="0" applyFont="1" applyFill="1" applyBorder="1" applyAlignment="1">
      <alignment horizontal="center"/>
    </xf>
    <xf numFmtId="167" fontId="31" fillId="0" borderId="13" xfId="4" applyFont="1" applyBorder="1" applyAlignment="1">
      <alignment vertical="center"/>
    </xf>
    <xf numFmtId="164" fontId="0" fillId="0" borderId="1" xfId="0" applyNumberFormat="1" applyBorder="1" applyAlignment="1">
      <alignment horizontal="right" vertical="center"/>
    </xf>
    <xf numFmtId="164" fontId="0" fillId="0" borderId="1" xfId="1" applyFont="1" applyBorder="1" applyAlignment="1">
      <alignment horizontal="right" vertic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0" fillId="0" borderId="0" xfId="0" applyNumberFormat="1"/>
    <xf numFmtId="14" fontId="8" fillId="2" borderId="14" xfId="2" applyNumberFormat="1" applyFont="1" applyFill="1" applyBorder="1" applyAlignment="1">
      <alignment horizontal="right" vertical="top" shrinkToFit="1"/>
    </xf>
    <xf numFmtId="0" fontId="10" fillId="0" borderId="12" xfId="0" applyFont="1" applyBorder="1" applyAlignment="1">
      <alignment horizontal="left" vertical="top" wrapText="1"/>
    </xf>
    <xf numFmtId="1" fontId="9" fillId="0" borderId="12" xfId="0" applyNumberFormat="1" applyFont="1" applyBorder="1" applyAlignment="1">
      <alignment horizontal="right" vertical="top" shrinkToFit="1"/>
    </xf>
    <xf numFmtId="2" fontId="9" fillId="0" borderId="11" xfId="0" applyNumberFormat="1" applyFont="1" applyBorder="1" applyAlignment="1">
      <alignment vertical="top" shrinkToFit="1"/>
    </xf>
    <xf numFmtId="4" fontId="9" fillId="5" borderId="12" xfId="0" applyNumberFormat="1" applyFont="1" applyFill="1" applyBorder="1" applyAlignment="1">
      <alignment horizontal="right" vertical="top" shrinkToFit="1"/>
    </xf>
    <xf numFmtId="164" fontId="29" fillId="4" borderId="1" xfId="1" applyFont="1" applyFill="1" applyBorder="1" applyAlignment="1">
      <alignment horizontal="center"/>
    </xf>
    <xf numFmtId="164" fontId="24" fillId="4" borderId="1" xfId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4" fontId="15" fillId="0" borderId="1" xfId="0" applyNumberFormat="1" applyFont="1" applyBorder="1"/>
    <xf numFmtId="165" fontId="22" fillId="3" borderId="1" xfId="0" applyNumberFormat="1" applyFont="1" applyFill="1" applyBorder="1"/>
    <xf numFmtId="4" fontId="0" fillId="0" borderId="0" xfId="0" applyNumberFormat="1" applyAlignment="1">
      <alignment horizontal="center"/>
    </xf>
    <xf numFmtId="164" fontId="34" fillId="0" borderId="1" xfId="1" applyFont="1" applyFill="1" applyBorder="1" applyAlignment="1"/>
    <xf numFmtId="14" fontId="33" fillId="0" borderId="1" xfId="0" applyNumberFormat="1" applyFont="1" applyBorder="1" applyAlignment="1">
      <alignment horizontal="center" vertical="center"/>
    </xf>
    <xf numFmtId="164" fontId="36" fillId="4" borderId="1" xfId="1" applyFont="1" applyFill="1" applyBorder="1" applyAlignment="1">
      <alignment horizontal="center" vertical="center"/>
    </xf>
    <xf numFmtId="164" fontId="33" fillId="0" borderId="1" xfId="1" applyFont="1" applyFill="1" applyBorder="1" applyAlignment="1">
      <alignment horizontal="center"/>
    </xf>
    <xf numFmtId="0" fontId="37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 wrapText="1"/>
    </xf>
    <xf numFmtId="49" fontId="38" fillId="0" borderId="10" xfId="1" applyNumberFormat="1" applyFont="1" applyFill="1" applyBorder="1" applyAlignment="1">
      <alignment vertical="center"/>
    </xf>
    <xf numFmtId="49" fontId="38" fillId="0" borderId="16" xfId="1" applyNumberFormat="1" applyFont="1" applyFill="1" applyBorder="1" applyAlignment="1">
      <alignment vertical="center"/>
    </xf>
    <xf numFmtId="49" fontId="38" fillId="0" borderId="9" xfId="1" applyNumberFormat="1" applyFont="1" applyFill="1" applyBorder="1" applyAlignment="1">
      <alignment vertical="center"/>
    </xf>
    <xf numFmtId="164" fontId="1" fillId="0" borderId="0" xfId="1" applyFont="1" applyBorder="1"/>
    <xf numFmtId="0" fontId="39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 wrapText="1"/>
    </xf>
    <xf numFmtId="14" fontId="38" fillId="0" borderId="1" xfId="0" applyNumberFormat="1" applyFont="1" applyBorder="1" applyAlignment="1">
      <alignment horizontal="center"/>
    </xf>
    <xf numFmtId="164" fontId="1" fillId="0" borderId="1" xfId="1" applyFont="1" applyBorder="1" applyAlignment="1">
      <alignment horizontal="center"/>
    </xf>
    <xf numFmtId="14" fontId="38" fillId="0" borderId="1" xfId="0" applyNumberFormat="1" applyFont="1" applyBorder="1" applyAlignment="1">
      <alignment horizontal="center" vertical="center"/>
    </xf>
    <xf numFmtId="164" fontId="7" fillId="2" borderId="7" xfId="1" applyFont="1" applyFill="1" applyBorder="1" applyAlignment="1">
      <alignment horizontal="right"/>
    </xf>
    <xf numFmtId="164" fontId="7" fillId="2" borderId="7" xfId="1" applyFont="1" applyFill="1" applyBorder="1"/>
    <xf numFmtId="164" fontId="7" fillId="0" borderId="6" xfId="1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4" fontId="4" fillId="0" borderId="2" xfId="0" applyNumberFormat="1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14" fontId="7" fillId="2" borderId="7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164" fontId="3" fillId="0" borderId="0" xfId="1" applyFont="1"/>
    <xf numFmtId="164" fontId="4" fillId="0" borderId="0" xfId="1" applyFont="1" applyAlignment="1">
      <alignment horizontal="center"/>
    </xf>
    <xf numFmtId="164" fontId="6" fillId="0" borderId="0" xfId="1" applyFont="1"/>
    <xf numFmtId="164" fontId="4" fillId="0" borderId="2" xfId="1" applyFont="1" applyBorder="1" applyAlignment="1">
      <alignment horizontal="center"/>
    </xf>
    <xf numFmtId="164" fontId="4" fillId="0" borderId="3" xfId="1" applyFont="1" applyBorder="1" applyAlignment="1">
      <alignment horizontal="center"/>
    </xf>
    <xf numFmtId="164" fontId="4" fillId="0" borderId="4" xfId="1" applyFont="1" applyBorder="1" applyAlignment="1">
      <alignment horizontal="right"/>
    </xf>
    <xf numFmtId="164" fontId="7" fillId="0" borderId="4" xfId="1" applyFont="1" applyBorder="1"/>
    <xf numFmtId="49" fontId="31" fillId="0" borderId="1" xfId="4" applyNumberFormat="1" applyFont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0" fillId="0" borderId="0" xfId="0" applyAlignment="1">
      <alignment horizontal="center"/>
    </xf>
    <xf numFmtId="0" fontId="20" fillId="4" borderId="1" xfId="0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4" fontId="21" fillId="0" borderId="0" xfId="0" applyNumberFormat="1" applyFont="1" applyAlignment="1">
      <alignment horizontal="left" vertical="top" indent="11" shrinkToFit="1"/>
    </xf>
    <xf numFmtId="0" fontId="20" fillId="3" borderId="1" xfId="0" applyFont="1" applyFill="1" applyBorder="1" applyAlignment="1">
      <alignment horizontal="left"/>
    </xf>
    <xf numFmtId="0" fontId="15" fillId="3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0" fillId="3" borderId="1" xfId="0" applyFont="1" applyFill="1" applyBorder="1" applyAlignment="1">
      <alignment horizontal="center" vertical="center"/>
    </xf>
    <xf numFmtId="49" fontId="20" fillId="3" borderId="1" xfId="0" applyNumberFormat="1" applyFont="1" applyFill="1" applyBorder="1" applyAlignment="1">
      <alignment horizontal="center" vertical="center"/>
    </xf>
    <xf numFmtId="4" fontId="15" fillId="2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49" fontId="18" fillId="0" borderId="14" xfId="0" applyNumberFormat="1" applyFont="1" applyBorder="1" applyAlignment="1">
      <alignment horizontal="center" wrapText="1"/>
    </xf>
    <xf numFmtId="0" fontId="35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9" xfId="0" applyBorder="1" applyAlignment="1">
      <alignment horizontal="left"/>
    </xf>
    <xf numFmtId="164" fontId="0" fillId="0" borderId="10" xfId="1" applyFont="1" applyBorder="1" applyAlignment="1">
      <alignment horizontal="center"/>
    </xf>
    <xf numFmtId="164" fontId="0" fillId="0" borderId="9" xfId="1" applyFont="1" applyBorder="1" applyAlignment="1">
      <alignment horizontal="center"/>
    </xf>
    <xf numFmtId="164" fontId="0" fillId="0" borderId="15" xfId="1" applyFont="1" applyBorder="1" applyAlignment="1">
      <alignment horizontal="center"/>
    </xf>
    <xf numFmtId="164" fontId="25" fillId="0" borderId="1" xfId="1" applyFont="1" applyFill="1" applyBorder="1" applyAlignment="1">
      <alignment horizontal="left"/>
    </xf>
    <xf numFmtId="164" fontId="24" fillId="0" borderId="1" xfId="3" applyFont="1" applyFill="1" applyBorder="1" applyAlignment="1">
      <alignment horizontal="center"/>
    </xf>
    <xf numFmtId="0" fontId="27" fillId="4" borderId="1" xfId="0" applyFont="1" applyFill="1" applyBorder="1" applyAlignment="1">
      <alignment horizontal="right"/>
    </xf>
    <xf numFmtId="164" fontId="29" fillId="4" borderId="1" xfId="1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4" fillId="0" borderId="1" xfId="1" applyFont="1" applyFill="1" applyBorder="1" applyAlignment="1">
      <alignment horizontal="center"/>
    </xf>
    <xf numFmtId="164" fontId="32" fillId="0" borderId="10" xfId="1" applyFont="1" applyFill="1" applyBorder="1" applyAlignment="1">
      <alignment horizontal="left"/>
    </xf>
    <xf numFmtId="164" fontId="32" fillId="0" borderId="16" xfId="1" applyFont="1" applyFill="1" applyBorder="1" applyAlignment="1">
      <alignment horizontal="left"/>
    </xf>
    <xf numFmtId="164" fontId="32" fillId="0" borderId="9" xfId="1" applyFont="1" applyFill="1" applyBorder="1" applyAlignment="1">
      <alignment horizontal="left"/>
    </xf>
    <xf numFmtId="164" fontId="34" fillId="0" borderId="1" xfId="1" applyFont="1" applyFill="1" applyBorder="1" applyAlignment="1">
      <alignment horizontal="center"/>
    </xf>
    <xf numFmtId="164" fontId="34" fillId="0" borderId="10" xfId="1" applyFont="1" applyFill="1" applyBorder="1" applyAlignment="1">
      <alignment horizontal="center"/>
    </xf>
    <xf numFmtId="164" fontId="34" fillId="0" borderId="9" xfId="1" applyFont="1" applyFill="1" applyBorder="1" applyAlignment="1">
      <alignment horizontal="center"/>
    </xf>
    <xf numFmtId="165" fontId="22" fillId="3" borderId="1" xfId="0" applyNumberFormat="1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23" fillId="4" borderId="1" xfId="0" applyFont="1" applyFill="1" applyBorder="1" applyAlignment="1">
      <alignment horizontal="left"/>
    </xf>
    <xf numFmtId="164" fontId="24" fillId="4" borderId="1" xfId="1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 vertical="center" wrapText="1"/>
    </xf>
    <xf numFmtId="4" fontId="15" fillId="0" borderId="1" xfId="0" applyNumberFormat="1" applyFont="1" applyBorder="1" applyAlignment="1">
      <alignment horizontal="center"/>
    </xf>
    <xf numFmtId="4" fontId="15" fillId="2" borderId="1" xfId="0" applyNumberFormat="1" applyFont="1" applyFill="1" applyBorder="1" applyAlignment="1">
      <alignment horizontal="center"/>
    </xf>
    <xf numFmtId="0" fontId="41" fillId="6" borderId="0" xfId="5"/>
    <xf numFmtId="164" fontId="41" fillId="6" borderId="0" xfId="1" applyFont="1" applyFill="1"/>
    <xf numFmtId="164" fontId="42" fillId="7" borderId="0" xfId="1" applyFont="1" applyFill="1"/>
    <xf numFmtId="14" fontId="41" fillId="6" borderId="0" xfId="5" applyNumberFormat="1"/>
    <xf numFmtId="164" fontId="40" fillId="8" borderId="7" xfId="6" applyNumberFormat="1" applyFont="1" applyBorder="1" applyAlignment="1">
      <alignment horizontal="right"/>
    </xf>
    <xf numFmtId="14" fontId="38" fillId="9" borderId="1" xfId="0" applyNumberFormat="1" applyFont="1" applyFill="1" applyBorder="1" applyAlignment="1">
      <alignment horizontal="center" vertical="center"/>
    </xf>
    <xf numFmtId="14" fontId="33" fillId="9" borderId="1" xfId="0" applyNumberFormat="1" applyFont="1" applyFill="1" applyBorder="1" applyAlignment="1">
      <alignment horizontal="center" vertical="center"/>
    </xf>
    <xf numFmtId="49" fontId="38" fillId="9" borderId="10" xfId="1" applyNumberFormat="1" applyFont="1" applyFill="1" applyBorder="1" applyAlignment="1">
      <alignment vertical="center"/>
    </xf>
    <xf numFmtId="49" fontId="38" fillId="9" borderId="16" xfId="1" applyNumberFormat="1" applyFont="1" applyFill="1" applyBorder="1" applyAlignment="1">
      <alignment vertical="center"/>
    </xf>
    <xf numFmtId="49" fontId="38" fillId="9" borderId="9" xfId="1" applyNumberFormat="1" applyFont="1" applyFill="1" applyBorder="1" applyAlignment="1">
      <alignment vertical="center"/>
    </xf>
    <xf numFmtId="164" fontId="33" fillId="9" borderId="1" xfId="1" applyFont="1" applyFill="1" applyBorder="1" applyAlignment="1">
      <alignment horizontal="center"/>
    </xf>
  </cellXfs>
  <cellStyles count="7">
    <cellStyle name="60% - Énfasis1" xfId="6" builtinId="32"/>
    <cellStyle name="Bueno" xfId="5" builtinId="26"/>
    <cellStyle name="Excel Built-in Normal" xfId="4" xr:uid="{00000000-0005-0000-0000-000000000000}"/>
    <cellStyle name="Millares" xfId="1" builtinId="3"/>
    <cellStyle name="Millares 3" xfId="3" xr:uid="{00000000-0005-0000-0000-000002000000}"/>
    <cellStyle name="Normal" xfId="0" builtinId="0"/>
    <cellStyle name="Normal 4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927099</xdr:colOff>
      <xdr:row>0</xdr:row>
      <xdr:rowOff>0</xdr:rowOff>
    </xdr:from>
    <xdr:ext cx="9525" cy="1905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98499" y="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9524" y="19049"/>
              </a:moveTo>
              <a:lnTo>
                <a:pt x="0" y="19049"/>
              </a:lnTo>
              <a:lnTo>
                <a:pt x="0" y="9524"/>
              </a:lnTo>
              <a:lnTo>
                <a:pt x="9524" y="0"/>
              </a:lnTo>
              <a:lnTo>
                <a:pt x="9524" y="19049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927099</xdr:colOff>
      <xdr:row>0</xdr:row>
      <xdr:rowOff>0</xdr:rowOff>
    </xdr:from>
    <xdr:ext cx="9525" cy="190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98499" y="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9524" y="19049"/>
              </a:moveTo>
              <a:lnTo>
                <a:pt x="0" y="19049"/>
              </a:lnTo>
              <a:lnTo>
                <a:pt x="0" y="9524"/>
              </a:lnTo>
              <a:lnTo>
                <a:pt x="9524" y="0"/>
              </a:lnTo>
              <a:lnTo>
                <a:pt x="9524" y="19049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1014543</xdr:colOff>
      <xdr:row>0</xdr:row>
      <xdr:rowOff>0</xdr:rowOff>
    </xdr:from>
    <xdr:ext cx="9525" cy="19050"/>
    <xdr:sp macro="" textlink="">
      <xdr:nvSpPr>
        <xdr:cNvPr id="4" name="Shape 2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90693" y="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9525" y="19050"/>
              </a:moveTo>
              <a:lnTo>
                <a:pt x="0" y="19050"/>
              </a:lnTo>
              <a:lnTo>
                <a:pt x="0" y="9525"/>
              </a:lnTo>
              <a:lnTo>
                <a:pt x="9525" y="0"/>
              </a:lnTo>
              <a:lnTo>
                <a:pt x="9525" y="1905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1014530</xdr:colOff>
      <xdr:row>0</xdr:row>
      <xdr:rowOff>0</xdr:rowOff>
    </xdr:from>
    <xdr:ext cx="9525" cy="19050"/>
    <xdr:sp macro="" textlink="">
      <xdr:nvSpPr>
        <xdr:cNvPr id="5" name="Shape 2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90680" y="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9525" y="19050"/>
              </a:moveTo>
              <a:lnTo>
                <a:pt x="0" y="19050"/>
              </a:lnTo>
              <a:lnTo>
                <a:pt x="0" y="9525"/>
              </a:lnTo>
              <a:lnTo>
                <a:pt x="9525" y="0"/>
              </a:lnTo>
              <a:lnTo>
                <a:pt x="9525" y="1905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twoCellAnchor editAs="oneCell">
    <xdr:from>
      <xdr:col>10</xdr:col>
      <xdr:colOff>742950</xdr:colOff>
      <xdr:row>3</xdr:row>
      <xdr:rowOff>114301</xdr:rowOff>
    </xdr:from>
    <xdr:to>
      <xdr:col>14</xdr:col>
      <xdr:colOff>95250</xdr:colOff>
      <xdr:row>7</xdr:row>
      <xdr:rowOff>0</xdr:rowOff>
    </xdr:to>
    <xdr:pic>
      <xdr:nvPicPr>
        <xdr:cNvPr id="6" name="Imagen 5" descr="C:\Users\AuditoriaInterna\Desktop\SEDEMAT  ADMINISTRACIÓN\sedemat BNP\IMG-20180606-WA0006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9950" y="685801"/>
          <a:ext cx="2400300" cy="64769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190500</xdr:colOff>
      <xdr:row>1</xdr:row>
      <xdr:rowOff>21239</xdr:rowOff>
    </xdr:from>
    <xdr:to>
      <xdr:col>0</xdr:col>
      <xdr:colOff>820191</xdr:colOff>
      <xdr:row>3</xdr:row>
      <xdr:rowOff>47625</xdr:rowOff>
    </xdr:to>
    <xdr:pic>
      <xdr:nvPicPr>
        <xdr:cNvPr id="7" name="Imagen 6" descr="C:\Users\Usuario\Downloads\WhatsApp Image 2024-05-08 at 10.06.31 AM (1)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11739"/>
          <a:ext cx="634453" cy="407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352425</xdr:colOff>
      <xdr:row>0</xdr:row>
      <xdr:rowOff>165866</xdr:rowOff>
    </xdr:from>
    <xdr:to>
      <xdr:col>1</xdr:col>
      <xdr:colOff>931068</xdr:colOff>
      <xdr:row>3</xdr:row>
      <xdr:rowOff>95250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165866"/>
          <a:ext cx="581025" cy="500884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5</xdr:col>
      <xdr:colOff>180975</xdr:colOff>
      <xdr:row>0</xdr:row>
      <xdr:rowOff>157380</xdr:rowOff>
    </xdr:from>
    <xdr:ext cx="1628775" cy="471270"/>
    <xdr:pic>
      <xdr:nvPicPr>
        <xdr:cNvPr id="9" name="2 Imagen" descr="C:\Users\AuditoriaInterna\Desktop\SEDEMAT  ADMINISTRACIÓN\sedemat BNP\IMG-20180606-WA0006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157380"/>
          <a:ext cx="1628775" cy="47127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571499</xdr:colOff>
      <xdr:row>36</xdr:row>
      <xdr:rowOff>0</xdr:rowOff>
    </xdr:from>
    <xdr:ext cx="9525" cy="190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619249" y="695325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36</xdr:row>
      <xdr:rowOff>0</xdr:rowOff>
    </xdr:from>
    <xdr:ext cx="9525" cy="19050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619249" y="695325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</xdr:col>
      <xdr:colOff>0</xdr:colOff>
      <xdr:row>37</xdr:row>
      <xdr:rowOff>0</xdr:rowOff>
    </xdr:from>
    <xdr:ext cx="9525" cy="19050"/>
    <xdr:sp macro="" textlink="">
      <xdr:nvSpPr>
        <xdr:cNvPr id="4" name="Shape 1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0" y="7134225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266</xdr:row>
      <xdr:rowOff>0</xdr:rowOff>
    </xdr:from>
    <xdr:ext cx="9525" cy="1905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619249" y="50130075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266</xdr:row>
      <xdr:rowOff>0</xdr:rowOff>
    </xdr:from>
    <xdr:ext cx="9525" cy="1905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619249" y="50130075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266</xdr:row>
      <xdr:rowOff>0</xdr:rowOff>
    </xdr:from>
    <xdr:ext cx="9525" cy="1905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619249" y="50130075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266</xdr:row>
      <xdr:rowOff>0</xdr:rowOff>
    </xdr:from>
    <xdr:ext cx="9525" cy="19050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619249" y="50130075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266</xdr:row>
      <xdr:rowOff>0</xdr:rowOff>
    </xdr:from>
    <xdr:ext cx="9525" cy="1905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49" y="50130075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266</xdr:row>
      <xdr:rowOff>0</xdr:rowOff>
    </xdr:from>
    <xdr:ext cx="9525" cy="19050"/>
    <xdr:sp macro="" textlink="">
      <xdr:nvSpPr>
        <xdr:cNvPr id="10" name="Shape 5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619249" y="50130075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266</xdr:row>
      <xdr:rowOff>0</xdr:rowOff>
    </xdr:from>
    <xdr:ext cx="9525" cy="1905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619249" y="50130075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266</xdr:row>
      <xdr:rowOff>0</xdr:rowOff>
    </xdr:from>
    <xdr:ext cx="9525" cy="19050"/>
    <xdr:sp macro="" textlink="">
      <xdr:nvSpPr>
        <xdr:cNvPr id="12" name="Shape 5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619249" y="50130075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twoCellAnchor editAs="oneCell">
    <xdr:from>
      <xdr:col>1</xdr:col>
      <xdr:colOff>161925</xdr:colOff>
      <xdr:row>0</xdr:row>
      <xdr:rowOff>142874</xdr:rowOff>
    </xdr:from>
    <xdr:to>
      <xdr:col>2</xdr:col>
      <xdr:colOff>895350</xdr:colOff>
      <xdr:row>3</xdr:row>
      <xdr:rowOff>142875</xdr:rowOff>
    </xdr:to>
    <xdr:pic>
      <xdr:nvPicPr>
        <xdr:cNvPr id="13" name="1 Imagen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73" t="39956" r="32747" b="43386"/>
        <a:stretch/>
      </xdr:blipFill>
      <xdr:spPr bwMode="auto">
        <a:xfrm>
          <a:off x="161925" y="142874"/>
          <a:ext cx="1781175" cy="5619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676275</xdr:colOff>
      <xdr:row>1</xdr:row>
      <xdr:rowOff>0</xdr:rowOff>
    </xdr:from>
    <xdr:to>
      <xdr:col>7</xdr:col>
      <xdr:colOff>411256</xdr:colOff>
      <xdr:row>3</xdr:row>
      <xdr:rowOff>161925</xdr:rowOff>
    </xdr:to>
    <xdr:pic>
      <xdr:nvPicPr>
        <xdr:cNvPr id="14" name="2 Imagen" descr="C:\Users\AuditoriaInterna\Desktop\SEDEMAT  ADMINISTRACIÓN\sedemat BNP\IMG-20180606-WA0006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0" y="180975"/>
          <a:ext cx="1876425" cy="5429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927099</xdr:colOff>
      <xdr:row>0</xdr:row>
      <xdr:rowOff>0</xdr:rowOff>
    </xdr:from>
    <xdr:ext cx="9525" cy="1905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98499" y="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9524" y="19049"/>
              </a:moveTo>
              <a:lnTo>
                <a:pt x="0" y="19049"/>
              </a:lnTo>
              <a:lnTo>
                <a:pt x="0" y="9524"/>
              </a:lnTo>
              <a:lnTo>
                <a:pt x="9524" y="0"/>
              </a:lnTo>
              <a:lnTo>
                <a:pt x="9524" y="19049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927099</xdr:colOff>
      <xdr:row>0</xdr:row>
      <xdr:rowOff>0</xdr:rowOff>
    </xdr:from>
    <xdr:ext cx="9525" cy="190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698499" y="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9524" y="19049"/>
              </a:moveTo>
              <a:lnTo>
                <a:pt x="0" y="19049"/>
              </a:lnTo>
              <a:lnTo>
                <a:pt x="0" y="9524"/>
              </a:lnTo>
              <a:lnTo>
                <a:pt x="9524" y="0"/>
              </a:lnTo>
              <a:lnTo>
                <a:pt x="9524" y="19049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1014543</xdr:colOff>
      <xdr:row>0</xdr:row>
      <xdr:rowOff>0</xdr:rowOff>
    </xdr:from>
    <xdr:ext cx="9525" cy="19050"/>
    <xdr:sp macro="" textlink="">
      <xdr:nvSpPr>
        <xdr:cNvPr id="4" name="Shape 2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690693" y="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9525" y="19050"/>
              </a:moveTo>
              <a:lnTo>
                <a:pt x="0" y="19050"/>
              </a:lnTo>
              <a:lnTo>
                <a:pt x="0" y="9525"/>
              </a:lnTo>
              <a:lnTo>
                <a:pt x="9525" y="0"/>
              </a:lnTo>
              <a:lnTo>
                <a:pt x="9525" y="1905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1014530</xdr:colOff>
      <xdr:row>0</xdr:row>
      <xdr:rowOff>0</xdr:rowOff>
    </xdr:from>
    <xdr:ext cx="9525" cy="19050"/>
    <xdr:sp macro="" textlink="">
      <xdr:nvSpPr>
        <xdr:cNvPr id="5" name="Shape 2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90680" y="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9525" y="19050"/>
              </a:moveTo>
              <a:lnTo>
                <a:pt x="0" y="19050"/>
              </a:lnTo>
              <a:lnTo>
                <a:pt x="0" y="9525"/>
              </a:lnTo>
              <a:lnTo>
                <a:pt x="9525" y="0"/>
              </a:lnTo>
              <a:lnTo>
                <a:pt x="9525" y="1905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twoCellAnchor editAs="oneCell">
    <xdr:from>
      <xdr:col>13</xdr:col>
      <xdr:colOff>742950</xdr:colOff>
      <xdr:row>3</xdr:row>
      <xdr:rowOff>114301</xdr:rowOff>
    </xdr:from>
    <xdr:to>
      <xdr:col>17</xdr:col>
      <xdr:colOff>95250</xdr:colOff>
      <xdr:row>7</xdr:row>
      <xdr:rowOff>0</xdr:rowOff>
    </xdr:to>
    <xdr:pic>
      <xdr:nvPicPr>
        <xdr:cNvPr id="6" name="Imagen 5" descr="C:\Users\AuditoriaInterna\Desktop\SEDEMAT  ADMINISTRACIÓN\sedemat BNP\IMG-20180606-WA0006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0025" y="685801"/>
          <a:ext cx="2400300" cy="64769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190500</xdr:colOff>
      <xdr:row>1</xdr:row>
      <xdr:rowOff>21239</xdr:rowOff>
    </xdr:from>
    <xdr:to>
      <xdr:col>1</xdr:col>
      <xdr:colOff>129628</xdr:colOff>
      <xdr:row>3</xdr:row>
      <xdr:rowOff>47625</xdr:rowOff>
    </xdr:to>
    <xdr:pic>
      <xdr:nvPicPr>
        <xdr:cNvPr id="7" name="Imagen 6" descr="C:\Users\Usuario\Downloads\WhatsApp Image 2024-05-08 at 10.06.31 AM (1).jpe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11739"/>
          <a:ext cx="634453" cy="407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352425</xdr:colOff>
      <xdr:row>0</xdr:row>
      <xdr:rowOff>165866</xdr:rowOff>
    </xdr:from>
    <xdr:to>
      <xdr:col>2</xdr:col>
      <xdr:colOff>38100</xdr:colOff>
      <xdr:row>3</xdr:row>
      <xdr:rowOff>95250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165866"/>
          <a:ext cx="581025" cy="500884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6</xdr:col>
      <xdr:colOff>180975</xdr:colOff>
      <xdr:row>0</xdr:row>
      <xdr:rowOff>157380</xdr:rowOff>
    </xdr:from>
    <xdr:ext cx="1628775" cy="471270"/>
    <xdr:pic>
      <xdr:nvPicPr>
        <xdr:cNvPr id="9" name="2 Imagen" descr="C:\Users\AuditoriaInterna\Desktop\SEDEMAT  ADMINISTRACIÓN\sedemat BNP\IMG-20180606-WA0006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1175" y="157380"/>
          <a:ext cx="1628775" cy="47127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571499</xdr:colOff>
      <xdr:row>39</xdr:row>
      <xdr:rowOff>0</xdr:rowOff>
    </xdr:from>
    <xdr:ext cx="9525" cy="190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095499" y="781050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39</xdr:row>
      <xdr:rowOff>0</xdr:rowOff>
    </xdr:from>
    <xdr:ext cx="9525" cy="19050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095499" y="781050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</xdr:col>
      <xdr:colOff>0</xdr:colOff>
      <xdr:row>39</xdr:row>
      <xdr:rowOff>0</xdr:rowOff>
    </xdr:from>
    <xdr:ext cx="9525" cy="19050"/>
    <xdr:sp macro="" textlink="">
      <xdr:nvSpPr>
        <xdr:cNvPr id="4" name="Shape 15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762000" y="781050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39</xdr:row>
      <xdr:rowOff>0</xdr:rowOff>
    </xdr:from>
    <xdr:ext cx="9525" cy="1905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095499" y="781050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39</xdr:row>
      <xdr:rowOff>0</xdr:rowOff>
    </xdr:from>
    <xdr:ext cx="9525" cy="1905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2095499" y="781050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39</xdr:row>
      <xdr:rowOff>0</xdr:rowOff>
    </xdr:from>
    <xdr:ext cx="9525" cy="1905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2095499" y="781050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39</xdr:row>
      <xdr:rowOff>0</xdr:rowOff>
    </xdr:from>
    <xdr:ext cx="9525" cy="19050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2095499" y="781050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39</xdr:row>
      <xdr:rowOff>0</xdr:rowOff>
    </xdr:from>
    <xdr:ext cx="9525" cy="1905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2095499" y="781050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39</xdr:row>
      <xdr:rowOff>0</xdr:rowOff>
    </xdr:from>
    <xdr:ext cx="9525" cy="19050"/>
    <xdr:sp macro="" textlink="">
      <xdr:nvSpPr>
        <xdr:cNvPr id="10" name="Shape 5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2095499" y="781050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39</xdr:row>
      <xdr:rowOff>0</xdr:rowOff>
    </xdr:from>
    <xdr:ext cx="9525" cy="1905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2095499" y="781050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39</xdr:row>
      <xdr:rowOff>0</xdr:rowOff>
    </xdr:from>
    <xdr:ext cx="9525" cy="19050"/>
    <xdr:sp macro="" textlink="">
      <xdr:nvSpPr>
        <xdr:cNvPr id="12" name="Shape 5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2095499" y="781050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</xdr:col>
      <xdr:colOff>161925</xdr:colOff>
      <xdr:row>0</xdr:row>
      <xdr:rowOff>142874</xdr:rowOff>
    </xdr:from>
    <xdr:ext cx="1781175" cy="561976"/>
    <xdr:pic>
      <xdr:nvPicPr>
        <xdr:cNvPr id="13" name="1 Imagen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73" t="39956" r="32747" b="43386"/>
        <a:stretch/>
      </xdr:blipFill>
      <xdr:spPr bwMode="auto">
        <a:xfrm>
          <a:off x="923925" y="142874"/>
          <a:ext cx="1781175" cy="5619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4</xdr:col>
      <xdr:colOff>676275</xdr:colOff>
      <xdr:row>1</xdr:row>
      <xdr:rowOff>0</xdr:rowOff>
    </xdr:from>
    <xdr:ext cx="1876425" cy="542925"/>
    <xdr:pic>
      <xdr:nvPicPr>
        <xdr:cNvPr id="14" name="2 Imagen" descr="C:\Users\AuditoriaInterna\Desktop\SEDEMAT  ADMINISTRACIÓN\sedemat BNP\IMG-20180606-WA0006.jp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190500"/>
          <a:ext cx="1876425" cy="5429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07"/>
  <sheetViews>
    <sheetView tabSelected="1" zoomScale="85" zoomScaleNormal="85" workbookViewId="0">
      <selection activeCell="D11" sqref="D11"/>
    </sheetView>
  </sheetViews>
  <sheetFormatPr baseColWidth="10" defaultRowHeight="15"/>
  <cols>
    <col min="1" max="1" width="15.7109375" customWidth="1"/>
    <col min="2" max="2" width="16.42578125" customWidth="1"/>
    <col min="3" max="3" width="26.140625" style="77" customWidth="1"/>
    <col min="4" max="4" width="15.28515625" style="77" customWidth="1"/>
    <col min="5" max="5" width="14.5703125" style="77" customWidth="1"/>
    <col min="6" max="6" width="13" style="77" customWidth="1"/>
    <col min="7" max="7" width="16.42578125" style="1" customWidth="1"/>
    <col min="8" max="8" width="7.140625" customWidth="1"/>
    <col min="9" max="9" width="17.5703125" customWidth="1"/>
    <col min="10" max="10" width="25.5703125" customWidth="1"/>
  </cols>
  <sheetData>
    <row r="1" spans="1:12">
      <c r="A1" s="5"/>
      <c r="B1" s="5"/>
      <c r="C1" s="6"/>
      <c r="D1" s="5"/>
      <c r="E1" s="5"/>
      <c r="F1" s="5"/>
      <c r="G1" s="111"/>
    </row>
    <row r="2" spans="1:12">
      <c r="A2" s="7"/>
      <c r="B2" s="154" t="s">
        <v>15</v>
      </c>
      <c r="C2" s="154"/>
      <c r="D2" s="154"/>
      <c r="E2" s="154"/>
      <c r="F2" s="154"/>
      <c r="G2" s="154"/>
    </row>
    <row r="3" spans="1:12">
      <c r="A3" s="154" t="s">
        <v>16</v>
      </c>
      <c r="B3" s="154"/>
      <c r="C3" s="154"/>
      <c r="D3" s="154"/>
      <c r="E3" s="154"/>
      <c r="F3" s="154"/>
      <c r="G3" s="154"/>
    </row>
    <row r="4" spans="1:12">
      <c r="A4" s="154" t="s">
        <v>17</v>
      </c>
      <c r="B4" s="154"/>
      <c r="C4" s="154"/>
      <c r="D4" s="154"/>
      <c r="E4" s="154"/>
      <c r="F4" s="154"/>
      <c r="G4" s="154"/>
    </row>
    <row r="5" spans="1:12">
      <c r="A5" s="153" t="s">
        <v>18</v>
      </c>
      <c r="B5" s="153"/>
      <c r="C5" s="153"/>
      <c r="D5" s="153"/>
      <c r="E5" s="153"/>
      <c r="F5" s="153"/>
      <c r="G5" s="153"/>
    </row>
    <row r="6" spans="1:12">
      <c r="A6" s="153" t="s">
        <v>43</v>
      </c>
      <c r="B6" s="153"/>
      <c r="C6" s="153"/>
      <c r="D6" s="153"/>
      <c r="E6" s="153"/>
      <c r="F6" s="153"/>
      <c r="G6" s="153"/>
    </row>
    <row r="7" spans="1:12">
      <c r="A7" s="153" t="s">
        <v>20</v>
      </c>
      <c r="B7" s="153"/>
      <c r="C7" s="153"/>
      <c r="D7" s="153"/>
      <c r="E7" s="153"/>
      <c r="F7" s="153"/>
      <c r="G7" s="153"/>
    </row>
    <row r="8" spans="1:12">
      <c r="A8" s="155"/>
      <c r="B8" s="155"/>
      <c r="C8" s="155"/>
      <c r="D8" s="155"/>
      <c r="E8" s="155"/>
      <c r="F8" s="155"/>
      <c r="G8" s="155"/>
    </row>
    <row r="9" spans="1:12" ht="18.75">
      <c r="A9" s="67"/>
      <c r="B9" s="67"/>
      <c r="C9" s="67"/>
      <c r="D9" s="67"/>
      <c r="E9" s="156" t="s">
        <v>577</v>
      </c>
      <c r="F9" s="156"/>
      <c r="G9" s="156"/>
    </row>
    <row r="10" spans="1:12" ht="25.5">
      <c r="A10" s="152" t="s">
        <v>51</v>
      </c>
      <c r="B10" s="152"/>
      <c r="C10" s="68" t="s">
        <v>44</v>
      </c>
      <c r="D10" s="98" t="s">
        <v>31</v>
      </c>
      <c r="E10" s="149" t="s">
        <v>32</v>
      </c>
      <c r="F10" s="150" t="s">
        <v>576</v>
      </c>
      <c r="G10" s="150"/>
    </row>
    <row r="11" spans="1:12">
      <c r="A11" s="146" t="s">
        <v>34</v>
      </c>
      <c r="B11" s="146"/>
      <c r="C11" s="69" t="s">
        <v>14</v>
      </c>
      <c r="D11" s="99">
        <v>328574.21000000031</v>
      </c>
      <c r="E11" s="149"/>
      <c r="F11" s="151">
        <f>+F74</f>
        <v>35103.160000000033</v>
      </c>
      <c r="G11" s="151"/>
    </row>
    <row r="12" spans="1:12">
      <c r="A12" s="146" t="s">
        <v>35</v>
      </c>
      <c r="B12" s="146"/>
      <c r="C12" s="69" t="s">
        <v>14</v>
      </c>
      <c r="D12" s="99">
        <v>363677.37</v>
      </c>
      <c r="E12" s="149"/>
      <c r="F12" s="151"/>
      <c r="G12" s="151"/>
      <c r="H12" s="145"/>
      <c r="I12" s="145"/>
      <c r="J12" s="145"/>
      <c r="K12" s="145"/>
    </row>
    <row r="13" spans="1:12" ht="18.75">
      <c r="A13" s="146" t="s">
        <v>2</v>
      </c>
      <c r="B13" s="146"/>
      <c r="C13" s="146"/>
      <c r="D13" s="100">
        <f>+D11-D12</f>
        <v>-35103.159999999683</v>
      </c>
      <c r="E13" s="147"/>
      <c r="F13" s="147"/>
      <c r="G13" s="147"/>
      <c r="H13" s="101"/>
    </row>
    <row r="14" spans="1:12">
      <c r="A14" s="148"/>
      <c r="B14" s="148"/>
      <c r="C14" s="148"/>
      <c r="D14" s="148"/>
      <c r="E14" s="148"/>
      <c r="F14" s="148"/>
      <c r="G14" s="148"/>
      <c r="H14" s="70"/>
      <c r="J14" s="90"/>
    </row>
    <row r="15" spans="1:12">
      <c r="A15" s="157" t="s">
        <v>46</v>
      </c>
      <c r="B15" s="157"/>
      <c r="C15" s="157"/>
      <c r="D15" s="157"/>
      <c r="E15" s="157"/>
      <c r="F15" s="157"/>
      <c r="G15" s="157"/>
      <c r="H15" s="2"/>
    </row>
    <row r="16" spans="1:12">
      <c r="A16" s="106" t="s">
        <v>21</v>
      </c>
      <c r="B16" s="107" t="s">
        <v>36</v>
      </c>
      <c r="C16" s="158" t="s">
        <v>38</v>
      </c>
      <c r="D16" s="158"/>
      <c r="E16" s="158"/>
      <c r="F16" s="158"/>
      <c r="G16" s="104" t="s">
        <v>37</v>
      </c>
      <c r="H16" s="73"/>
      <c r="K16" s="3"/>
      <c r="L16" s="4"/>
    </row>
    <row r="17" spans="1:12">
      <c r="A17" s="116">
        <v>45783</v>
      </c>
      <c r="B17" s="103" t="s">
        <v>540</v>
      </c>
      <c r="C17" s="108" t="s">
        <v>529</v>
      </c>
      <c r="D17" s="109"/>
      <c r="E17" s="109"/>
      <c r="F17" s="110"/>
      <c r="G17" s="105">
        <v>934.69</v>
      </c>
      <c r="I17" s="102"/>
      <c r="K17" s="3"/>
      <c r="L17" s="4"/>
    </row>
    <row r="18" spans="1:12">
      <c r="A18" s="116">
        <v>45785</v>
      </c>
      <c r="B18" s="103" t="s">
        <v>541</v>
      </c>
      <c r="C18" s="108" t="s">
        <v>530</v>
      </c>
      <c r="D18" s="109"/>
      <c r="E18" s="109"/>
      <c r="F18" s="110"/>
      <c r="G18" s="105">
        <v>1047.04</v>
      </c>
      <c r="I18" s="102"/>
      <c r="K18" s="3"/>
      <c r="L18" s="4"/>
    </row>
    <row r="19" spans="1:12">
      <c r="A19" s="116">
        <v>45785</v>
      </c>
      <c r="B19" s="103" t="s">
        <v>542</v>
      </c>
      <c r="C19" s="108" t="s">
        <v>60</v>
      </c>
      <c r="D19" s="109"/>
      <c r="E19" s="109"/>
      <c r="F19" s="110"/>
      <c r="G19" s="105">
        <v>4128.1000000000004</v>
      </c>
      <c r="H19" s="73"/>
      <c r="K19" s="3"/>
      <c r="L19" s="4"/>
    </row>
    <row r="20" spans="1:12">
      <c r="A20" s="116">
        <v>45785</v>
      </c>
      <c r="B20" s="103" t="s">
        <v>543</v>
      </c>
      <c r="C20" s="108" t="s">
        <v>60</v>
      </c>
      <c r="D20" s="109"/>
      <c r="E20" s="109"/>
      <c r="F20" s="110"/>
      <c r="G20" s="105">
        <v>6449.87</v>
      </c>
      <c r="H20" s="73"/>
      <c r="K20" s="3"/>
      <c r="L20" s="4"/>
    </row>
    <row r="21" spans="1:12">
      <c r="A21" s="116">
        <v>45786</v>
      </c>
      <c r="B21" s="103" t="s">
        <v>544</v>
      </c>
      <c r="C21" s="108" t="s">
        <v>60</v>
      </c>
      <c r="D21" s="109"/>
      <c r="E21" s="109"/>
      <c r="F21" s="110"/>
      <c r="G21" s="105">
        <v>6449.87</v>
      </c>
      <c r="H21" s="73"/>
      <c r="K21" s="3"/>
      <c r="L21" s="4"/>
    </row>
    <row r="22" spans="1:12">
      <c r="A22" s="116">
        <v>45791</v>
      </c>
      <c r="B22" s="103" t="s">
        <v>545</v>
      </c>
      <c r="C22" s="108" t="s">
        <v>531</v>
      </c>
      <c r="D22" s="109"/>
      <c r="E22" s="109"/>
      <c r="F22" s="110"/>
      <c r="G22" s="105">
        <v>2720</v>
      </c>
      <c r="H22" s="73"/>
      <c r="K22" s="3"/>
      <c r="L22" s="4"/>
    </row>
    <row r="23" spans="1:12">
      <c r="A23" s="116">
        <v>45792</v>
      </c>
      <c r="B23" s="103" t="s">
        <v>514</v>
      </c>
      <c r="C23" s="108" t="s">
        <v>208</v>
      </c>
      <c r="D23" s="109"/>
      <c r="E23" s="109"/>
      <c r="F23" s="110"/>
      <c r="G23" s="105">
        <v>2000</v>
      </c>
      <c r="H23" s="73"/>
      <c r="K23" s="3"/>
      <c r="L23" s="4"/>
    </row>
    <row r="24" spans="1:12">
      <c r="A24" s="116">
        <v>45798</v>
      </c>
      <c r="B24" s="103" t="s">
        <v>546</v>
      </c>
      <c r="C24" s="108" t="s">
        <v>66</v>
      </c>
      <c r="D24" s="109"/>
      <c r="E24" s="109"/>
      <c r="F24" s="110"/>
      <c r="G24" s="105">
        <v>2653.42</v>
      </c>
      <c r="H24" s="73"/>
      <c r="K24" s="3"/>
      <c r="L24" s="4"/>
    </row>
    <row r="25" spans="1:12">
      <c r="A25" s="116">
        <v>45798</v>
      </c>
      <c r="B25" s="103" t="s">
        <v>547</v>
      </c>
      <c r="C25" s="108" t="s">
        <v>66</v>
      </c>
      <c r="D25" s="109"/>
      <c r="E25" s="109"/>
      <c r="F25" s="110"/>
      <c r="G25" s="105">
        <v>1310.3</v>
      </c>
      <c r="H25" s="73"/>
      <c r="K25" s="3"/>
      <c r="L25" s="4"/>
    </row>
    <row r="26" spans="1:12">
      <c r="A26" s="116">
        <v>45799</v>
      </c>
      <c r="B26" s="103" t="s">
        <v>548</v>
      </c>
      <c r="C26" s="108" t="s">
        <v>1</v>
      </c>
      <c r="D26" s="109"/>
      <c r="E26" s="109"/>
      <c r="F26" s="110"/>
      <c r="G26" s="105">
        <v>1000</v>
      </c>
      <c r="H26" s="73"/>
      <c r="K26" s="3"/>
      <c r="L26" s="4"/>
    </row>
    <row r="27" spans="1:12">
      <c r="A27" s="116">
        <v>45799</v>
      </c>
      <c r="B27" s="103" t="s">
        <v>500</v>
      </c>
      <c r="C27" s="108" t="s">
        <v>532</v>
      </c>
      <c r="D27" s="109"/>
      <c r="E27" s="109"/>
      <c r="F27" s="110"/>
      <c r="G27" s="105">
        <v>5163.1499999999996</v>
      </c>
      <c r="H27" s="73"/>
      <c r="K27" s="3"/>
      <c r="L27" s="4"/>
    </row>
    <row r="28" spans="1:12">
      <c r="A28" s="116">
        <v>45799</v>
      </c>
      <c r="B28" s="103" t="s">
        <v>549</v>
      </c>
      <c r="C28" s="108" t="s">
        <v>104</v>
      </c>
      <c r="D28" s="109"/>
      <c r="E28" s="109"/>
      <c r="F28" s="110"/>
      <c r="G28" s="105">
        <v>5123.25</v>
      </c>
      <c r="H28" s="73"/>
      <c r="K28" s="3"/>
      <c r="L28" s="4"/>
    </row>
    <row r="29" spans="1:12">
      <c r="A29" s="116">
        <v>45800</v>
      </c>
      <c r="B29" s="103" t="s">
        <v>552</v>
      </c>
      <c r="C29" s="108" t="s">
        <v>66</v>
      </c>
      <c r="D29" s="109"/>
      <c r="E29" s="109"/>
      <c r="F29" s="110"/>
      <c r="G29" s="105">
        <v>2212.38</v>
      </c>
      <c r="H29" s="73"/>
      <c r="K29" s="3"/>
      <c r="L29" s="4"/>
    </row>
    <row r="30" spans="1:12">
      <c r="A30" s="116">
        <v>45800</v>
      </c>
      <c r="B30" s="103" t="s">
        <v>520</v>
      </c>
      <c r="C30" s="108" t="s">
        <v>208</v>
      </c>
      <c r="D30" s="109"/>
      <c r="E30" s="109"/>
      <c r="F30" s="110"/>
      <c r="G30" s="105">
        <v>1000</v>
      </c>
      <c r="H30" s="73"/>
      <c r="K30" s="3"/>
      <c r="L30" s="4"/>
    </row>
    <row r="31" spans="1:12">
      <c r="A31" s="116">
        <v>45800</v>
      </c>
      <c r="B31" s="103" t="s">
        <v>551</v>
      </c>
      <c r="C31" s="108" t="s">
        <v>250</v>
      </c>
      <c r="D31" s="109"/>
      <c r="E31" s="109"/>
      <c r="F31" s="110"/>
      <c r="G31" s="105">
        <v>2799.46</v>
      </c>
      <c r="H31" s="73"/>
      <c r="K31" s="3"/>
      <c r="L31" s="4"/>
    </row>
    <row r="32" spans="1:12">
      <c r="A32" s="116">
        <v>45800</v>
      </c>
      <c r="B32" s="103" t="s">
        <v>550</v>
      </c>
      <c r="C32" s="108" t="s">
        <v>104</v>
      </c>
      <c r="D32" s="109"/>
      <c r="E32" s="109"/>
      <c r="F32" s="110"/>
      <c r="G32" s="105">
        <v>5360.93</v>
      </c>
      <c r="H32" s="73"/>
      <c r="K32" s="3"/>
      <c r="L32" s="4"/>
    </row>
    <row r="33" spans="1:12">
      <c r="A33" s="192">
        <v>45804</v>
      </c>
      <c r="B33" s="193" t="s">
        <v>494</v>
      </c>
      <c r="C33" s="194" t="s">
        <v>81</v>
      </c>
      <c r="D33" s="195"/>
      <c r="E33" s="195"/>
      <c r="F33" s="196"/>
      <c r="G33" s="197">
        <v>233.22</v>
      </c>
      <c r="H33" s="73"/>
      <c r="K33" s="3"/>
      <c r="L33" s="4"/>
    </row>
    <row r="34" spans="1:12">
      <c r="A34" s="192">
        <v>45804</v>
      </c>
      <c r="B34" s="193" t="s">
        <v>494</v>
      </c>
      <c r="C34" s="194" t="s">
        <v>81</v>
      </c>
      <c r="D34" s="195"/>
      <c r="E34" s="195"/>
      <c r="F34" s="196"/>
      <c r="G34" s="197">
        <v>233.22</v>
      </c>
      <c r="H34" s="73"/>
      <c r="K34" s="3"/>
      <c r="L34" s="4"/>
    </row>
    <row r="35" spans="1:12">
      <c r="A35" s="116">
        <v>45804</v>
      </c>
      <c r="B35" s="103" t="s">
        <v>507</v>
      </c>
      <c r="C35" s="108" t="s">
        <v>69</v>
      </c>
      <c r="D35" s="109"/>
      <c r="E35" s="109"/>
      <c r="F35" s="110"/>
      <c r="G35" s="105">
        <v>2713.12</v>
      </c>
      <c r="H35" s="73"/>
      <c r="K35" s="3"/>
      <c r="L35" s="4"/>
    </row>
    <row r="36" spans="1:12">
      <c r="A36" s="116">
        <v>45805</v>
      </c>
      <c r="B36" s="103" t="s">
        <v>553</v>
      </c>
      <c r="C36" s="108" t="s">
        <v>66</v>
      </c>
      <c r="D36" s="109"/>
      <c r="E36" s="109"/>
      <c r="F36" s="110"/>
      <c r="G36" s="105">
        <v>1239.7</v>
      </c>
      <c r="H36" s="73"/>
      <c r="K36" s="3"/>
      <c r="L36" s="4"/>
    </row>
    <row r="37" spans="1:12">
      <c r="A37" s="116">
        <v>45805</v>
      </c>
      <c r="B37" s="103" t="s">
        <v>554</v>
      </c>
      <c r="C37" s="108" t="s">
        <v>66</v>
      </c>
      <c r="D37" s="109"/>
      <c r="E37" s="109"/>
      <c r="F37" s="110"/>
      <c r="G37" s="105">
        <v>5400</v>
      </c>
      <c r="H37" s="73"/>
      <c r="K37" s="3"/>
      <c r="L37" s="4"/>
    </row>
    <row r="38" spans="1:12">
      <c r="A38" s="116">
        <v>45805</v>
      </c>
      <c r="B38" s="103" t="s">
        <v>555</v>
      </c>
      <c r="C38" s="108" t="s">
        <v>66</v>
      </c>
      <c r="D38" s="109"/>
      <c r="E38" s="109"/>
      <c r="F38" s="110"/>
      <c r="G38" s="105">
        <v>31633.5</v>
      </c>
      <c r="H38" s="73"/>
      <c r="K38" s="3"/>
      <c r="L38" s="4"/>
    </row>
    <row r="39" spans="1:12">
      <c r="A39" s="116">
        <v>45805</v>
      </c>
      <c r="B39" s="103" t="s">
        <v>556</v>
      </c>
      <c r="C39" s="108" t="s">
        <v>66</v>
      </c>
      <c r="D39" s="109"/>
      <c r="E39" s="109"/>
      <c r="F39" s="110"/>
      <c r="G39" s="105">
        <v>1000</v>
      </c>
      <c r="H39" s="73"/>
      <c r="K39" s="3"/>
      <c r="L39" s="4"/>
    </row>
    <row r="40" spans="1:12">
      <c r="A40" s="116">
        <v>45805</v>
      </c>
      <c r="B40" s="103" t="s">
        <v>519</v>
      </c>
      <c r="C40" s="108" t="s">
        <v>534</v>
      </c>
      <c r="D40" s="109"/>
      <c r="E40" s="109"/>
      <c r="F40" s="110"/>
      <c r="G40" s="105">
        <v>1239.7</v>
      </c>
      <c r="H40" s="73"/>
      <c r="K40" s="3"/>
      <c r="L40" s="4"/>
    </row>
    <row r="41" spans="1:12">
      <c r="A41" s="116">
        <v>45805</v>
      </c>
      <c r="B41" s="103" t="s">
        <v>495</v>
      </c>
      <c r="C41" s="108" t="s">
        <v>533</v>
      </c>
      <c r="D41" s="109"/>
      <c r="E41" s="109"/>
      <c r="F41" s="110"/>
      <c r="G41" s="105">
        <v>12920</v>
      </c>
      <c r="H41" s="73"/>
      <c r="K41" s="3"/>
      <c r="L41" s="4"/>
    </row>
    <row r="42" spans="1:12">
      <c r="A42" s="116">
        <v>45805</v>
      </c>
      <c r="B42" s="103" t="s">
        <v>558</v>
      </c>
      <c r="C42" s="108" t="s">
        <v>141</v>
      </c>
      <c r="D42" s="109"/>
      <c r="E42" s="109"/>
      <c r="F42" s="110"/>
      <c r="G42" s="105">
        <v>1662.07</v>
      </c>
      <c r="H42" s="73"/>
      <c r="K42" s="3"/>
      <c r="L42" s="4"/>
    </row>
    <row r="43" spans="1:12">
      <c r="A43" s="116">
        <v>45805</v>
      </c>
      <c r="B43" s="103" t="s">
        <v>557</v>
      </c>
      <c r="C43" s="108" t="s">
        <v>535</v>
      </c>
      <c r="D43" s="109"/>
      <c r="E43" s="109"/>
      <c r="F43" s="110"/>
      <c r="G43" s="105">
        <v>1403.3</v>
      </c>
      <c r="H43" s="73"/>
      <c r="K43" s="3"/>
      <c r="L43" s="4"/>
    </row>
    <row r="44" spans="1:12">
      <c r="A44" s="116">
        <v>45806</v>
      </c>
      <c r="B44" s="103" t="s">
        <v>559</v>
      </c>
      <c r="C44" s="108" t="s">
        <v>66</v>
      </c>
      <c r="D44" s="109"/>
      <c r="E44" s="109"/>
      <c r="F44" s="110"/>
      <c r="G44" s="105">
        <v>539</v>
      </c>
      <c r="H44" s="73"/>
      <c r="K44" s="3"/>
      <c r="L44" s="4"/>
    </row>
    <row r="45" spans="1:12">
      <c r="A45" s="116">
        <v>45806</v>
      </c>
      <c r="B45" s="103" t="s">
        <v>560</v>
      </c>
      <c r="C45" s="108" t="s">
        <v>66</v>
      </c>
      <c r="D45" s="109"/>
      <c r="E45" s="109"/>
      <c r="F45" s="110"/>
      <c r="G45" s="105">
        <v>539</v>
      </c>
      <c r="H45" s="73"/>
      <c r="K45" s="3"/>
      <c r="L45" s="4"/>
    </row>
    <row r="46" spans="1:12">
      <c r="A46" s="116">
        <v>45807</v>
      </c>
      <c r="B46" s="103" t="s">
        <v>563</v>
      </c>
      <c r="C46" s="108" t="s">
        <v>66</v>
      </c>
      <c r="D46" s="109"/>
      <c r="E46" s="109"/>
      <c r="F46" s="110"/>
      <c r="G46" s="105">
        <v>1293.5999999999999</v>
      </c>
      <c r="H46" s="73"/>
      <c r="K46" s="3"/>
      <c r="L46" s="4"/>
    </row>
    <row r="47" spans="1:12">
      <c r="A47" s="116">
        <v>45807</v>
      </c>
      <c r="B47" s="103" t="s">
        <v>564</v>
      </c>
      <c r="C47" s="108" t="s">
        <v>66</v>
      </c>
      <c r="D47" s="109"/>
      <c r="E47" s="109"/>
      <c r="F47" s="110"/>
      <c r="G47" s="105">
        <v>2587.1999999999998</v>
      </c>
      <c r="H47" s="73"/>
      <c r="K47" s="3"/>
      <c r="L47" s="4"/>
    </row>
    <row r="48" spans="1:12">
      <c r="A48" s="116">
        <v>45807</v>
      </c>
      <c r="B48" s="103" t="s">
        <v>565</v>
      </c>
      <c r="C48" s="108" t="s">
        <v>66</v>
      </c>
      <c r="D48" s="109"/>
      <c r="E48" s="109"/>
      <c r="F48" s="110"/>
      <c r="G48" s="105">
        <v>2587.1999999999998</v>
      </c>
      <c r="H48" s="73"/>
      <c r="K48" s="3"/>
      <c r="L48" s="4"/>
    </row>
    <row r="49" spans="1:12">
      <c r="A49" s="116">
        <v>45807</v>
      </c>
      <c r="B49" s="103" t="s">
        <v>566</v>
      </c>
      <c r="C49" s="108" t="s">
        <v>66</v>
      </c>
      <c r="D49" s="109"/>
      <c r="E49" s="109"/>
      <c r="F49" s="110"/>
      <c r="G49" s="105">
        <v>1078</v>
      </c>
      <c r="H49" s="73"/>
      <c r="K49" s="3"/>
      <c r="L49" s="4"/>
    </row>
    <row r="50" spans="1:12">
      <c r="A50" s="116">
        <v>45807</v>
      </c>
      <c r="B50" s="103" t="s">
        <v>567</v>
      </c>
      <c r="C50" s="108" t="s">
        <v>66</v>
      </c>
      <c r="D50" s="109"/>
      <c r="E50" s="109"/>
      <c r="F50" s="110"/>
      <c r="G50" s="105">
        <v>500</v>
      </c>
      <c r="H50" s="73"/>
      <c r="K50" s="3"/>
      <c r="L50" s="4"/>
    </row>
    <row r="51" spans="1:12">
      <c r="A51" s="116">
        <v>45807</v>
      </c>
      <c r="B51" s="103" t="s">
        <v>568</v>
      </c>
      <c r="C51" s="108" t="s">
        <v>66</v>
      </c>
      <c r="D51" s="109"/>
      <c r="E51" s="109"/>
      <c r="F51" s="110"/>
      <c r="G51" s="105">
        <v>540</v>
      </c>
      <c r="H51" s="73"/>
      <c r="K51" s="3"/>
      <c r="L51" s="4"/>
    </row>
    <row r="52" spans="1:12">
      <c r="A52" s="116">
        <v>45807</v>
      </c>
      <c r="B52" s="103" t="s">
        <v>561</v>
      </c>
      <c r="C52" s="108" t="s">
        <v>530</v>
      </c>
      <c r="D52" s="109"/>
      <c r="E52" s="109"/>
      <c r="F52" s="110"/>
      <c r="G52" s="105">
        <v>1918.15</v>
      </c>
      <c r="H52" s="73"/>
      <c r="K52" s="3"/>
      <c r="L52" s="4"/>
    </row>
    <row r="53" spans="1:12">
      <c r="A53" s="116">
        <v>45807</v>
      </c>
      <c r="B53" s="103" t="s">
        <v>562</v>
      </c>
      <c r="C53" s="108" t="s">
        <v>101</v>
      </c>
      <c r="D53" s="109"/>
      <c r="E53" s="109"/>
      <c r="F53" s="110"/>
      <c r="G53" s="105">
        <v>2440.39</v>
      </c>
      <c r="H53" s="73"/>
      <c r="K53" s="3"/>
      <c r="L53" s="4"/>
    </row>
    <row r="54" spans="1:12">
      <c r="A54" s="116">
        <v>45807</v>
      </c>
      <c r="B54" s="103" t="s">
        <v>518</v>
      </c>
      <c r="C54" s="108" t="s">
        <v>537</v>
      </c>
      <c r="D54" s="109"/>
      <c r="E54" s="109"/>
      <c r="F54" s="110"/>
      <c r="G54" s="105">
        <v>1293.5999999999999</v>
      </c>
      <c r="H54" s="73"/>
      <c r="K54" s="3"/>
      <c r="L54" s="4"/>
    </row>
    <row r="55" spans="1:12">
      <c r="A55" s="116">
        <v>45807</v>
      </c>
      <c r="B55" s="103" t="s">
        <v>525</v>
      </c>
      <c r="C55" s="108" t="s">
        <v>538</v>
      </c>
      <c r="D55" s="109"/>
      <c r="E55" s="109"/>
      <c r="F55" s="110"/>
      <c r="G55" s="105">
        <v>539</v>
      </c>
      <c r="H55" s="73"/>
      <c r="K55" s="3"/>
      <c r="L55" s="4"/>
    </row>
    <row r="56" spans="1:12">
      <c r="A56" s="116">
        <v>45807</v>
      </c>
      <c r="B56" s="103" t="s">
        <v>524</v>
      </c>
      <c r="C56" s="108" t="s">
        <v>536</v>
      </c>
      <c r="D56" s="109"/>
      <c r="E56" s="109"/>
      <c r="F56" s="110"/>
      <c r="G56" s="105">
        <v>539</v>
      </c>
      <c r="H56" s="73"/>
      <c r="K56" s="3"/>
      <c r="L56" s="4"/>
    </row>
    <row r="57" spans="1:12">
      <c r="A57" s="116">
        <v>45807</v>
      </c>
      <c r="B57" s="103" t="s">
        <v>572</v>
      </c>
      <c r="C57" s="108" t="s">
        <v>107</v>
      </c>
      <c r="D57" s="109"/>
      <c r="E57" s="109"/>
      <c r="F57" s="110"/>
      <c r="G57" s="105">
        <v>169</v>
      </c>
      <c r="H57" s="73"/>
      <c r="K57" s="3"/>
      <c r="L57" s="4"/>
    </row>
    <row r="58" spans="1:12">
      <c r="A58" s="116">
        <v>45807</v>
      </c>
      <c r="B58" s="103" t="s">
        <v>569</v>
      </c>
      <c r="C58" s="108" t="s">
        <v>233</v>
      </c>
      <c r="D58" s="109"/>
      <c r="E58" s="109"/>
      <c r="F58" s="110"/>
      <c r="G58" s="105">
        <v>1764.02</v>
      </c>
      <c r="H58" s="73"/>
      <c r="K58" s="3"/>
      <c r="L58" s="4"/>
    </row>
    <row r="59" spans="1:12">
      <c r="A59" s="116">
        <v>45807</v>
      </c>
      <c r="B59" s="103" t="s">
        <v>570</v>
      </c>
      <c r="C59" s="108" t="s">
        <v>539</v>
      </c>
      <c r="D59" s="109"/>
      <c r="E59" s="109"/>
      <c r="F59" s="110"/>
      <c r="G59" s="105">
        <v>2440.39</v>
      </c>
      <c r="H59" s="73"/>
      <c r="K59" s="3"/>
      <c r="L59" s="4"/>
    </row>
    <row r="60" spans="1:12">
      <c r="A60" s="116">
        <v>45807</v>
      </c>
      <c r="B60" s="103" t="s">
        <v>571</v>
      </c>
      <c r="C60" s="108" t="s">
        <v>217</v>
      </c>
      <c r="D60" s="109"/>
      <c r="E60" s="109"/>
      <c r="F60" s="110"/>
      <c r="G60" s="105">
        <v>2777.2</v>
      </c>
      <c r="H60" s="73"/>
      <c r="K60" s="3"/>
      <c r="L60" s="4"/>
    </row>
    <row r="61" spans="1:12">
      <c r="A61" s="116">
        <v>45808</v>
      </c>
      <c r="B61" s="103" t="s">
        <v>573</v>
      </c>
      <c r="C61" s="108" t="s">
        <v>231</v>
      </c>
      <c r="D61" s="109"/>
      <c r="E61" s="109"/>
      <c r="F61" s="110"/>
      <c r="G61" s="105">
        <v>2440.39</v>
      </c>
      <c r="H61" s="73"/>
      <c r="K61" s="3"/>
      <c r="L61" s="4"/>
    </row>
    <row r="62" spans="1:12">
      <c r="A62" s="116">
        <v>45808</v>
      </c>
      <c r="B62" s="103" t="s">
        <v>574</v>
      </c>
      <c r="C62" s="108" t="s">
        <v>231</v>
      </c>
      <c r="D62" s="109"/>
      <c r="E62" s="109"/>
      <c r="F62" s="110"/>
      <c r="G62" s="105">
        <v>2856.7</v>
      </c>
      <c r="H62" s="73"/>
      <c r="K62" s="3"/>
      <c r="L62" s="4"/>
    </row>
    <row r="63" spans="1:12" ht="15.75">
      <c r="A63" s="142" t="s">
        <v>39</v>
      </c>
      <c r="B63" s="142"/>
      <c r="C63" s="142"/>
      <c r="D63" s="142"/>
      <c r="E63" s="142"/>
      <c r="F63" s="142"/>
      <c r="G63" s="96">
        <f>+SUM(G11:G62)</f>
        <v>138872.13000000003</v>
      </c>
    </row>
    <row r="64" spans="1:12">
      <c r="A64" s="159" t="s">
        <v>111</v>
      </c>
      <c r="B64" s="159"/>
      <c r="C64" s="159"/>
      <c r="D64" s="159"/>
      <c r="E64" s="159"/>
      <c r="F64" s="159"/>
      <c r="G64" s="159"/>
      <c r="H64" s="1"/>
    </row>
    <row r="65" spans="1:17">
      <c r="A65" s="112" t="s">
        <v>21</v>
      </c>
      <c r="B65" s="113" t="s">
        <v>36</v>
      </c>
      <c r="C65" s="139" t="s">
        <v>38</v>
      </c>
      <c r="D65" s="139"/>
      <c r="E65" s="139"/>
      <c r="F65" s="139"/>
      <c r="G65" s="97" t="s">
        <v>37</v>
      </c>
      <c r="H65" s="1"/>
    </row>
    <row r="66" spans="1:17">
      <c r="A66" s="114"/>
      <c r="B66" s="81"/>
      <c r="C66" s="108" t="s">
        <v>55</v>
      </c>
      <c r="D66" s="109"/>
      <c r="E66" s="109"/>
      <c r="F66" s="110"/>
      <c r="G66" s="105">
        <v>-953.55000000000291</v>
      </c>
      <c r="H66" s="1"/>
    </row>
    <row r="67" spans="1:17">
      <c r="A67" s="114"/>
      <c r="B67" s="81"/>
      <c r="C67" s="108" t="s">
        <v>575</v>
      </c>
      <c r="D67" s="109"/>
      <c r="E67" s="109"/>
      <c r="F67" s="110"/>
      <c r="G67" s="105">
        <v>-12378.7</v>
      </c>
      <c r="H67" s="1"/>
    </row>
    <row r="68" spans="1:17">
      <c r="A68" s="114"/>
      <c r="B68" s="81"/>
      <c r="C68" s="108" t="s">
        <v>110</v>
      </c>
      <c r="D68" s="109"/>
      <c r="E68" s="109"/>
      <c r="F68" s="110"/>
      <c r="G68" s="105">
        <v>-90436.72</v>
      </c>
      <c r="H68" s="1"/>
    </row>
    <row r="69" spans="1:17" ht="15.75">
      <c r="A69" s="142" t="s">
        <v>39</v>
      </c>
      <c r="B69" s="142"/>
      <c r="C69" s="142"/>
      <c r="D69" s="142"/>
      <c r="E69" s="142"/>
      <c r="F69" s="142"/>
      <c r="G69" s="96">
        <f>+SUM(G66:G68)</f>
        <v>-103768.97</v>
      </c>
    </row>
    <row r="70" spans="1:17">
      <c r="A70" s="144" t="s">
        <v>40</v>
      </c>
      <c r="B70" s="144"/>
      <c r="C70" s="144"/>
      <c r="D70" s="144"/>
      <c r="E70" s="89" t="s">
        <v>49</v>
      </c>
      <c r="F70" s="89" t="s">
        <v>37</v>
      </c>
      <c r="G70" s="115"/>
    </row>
    <row r="71" spans="1:17">
      <c r="A71" s="143"/>
      <c r="B71" s="143"/>
      <c r="C71" s="143"/>
      <c r="D71" s="143"/>
      <c r="E71" s="82"/>
      <c r="F71" s="76"/>
      <c r="G71" s="115"/>
    </row>
    <row r="72" spans="1:17">
      <c r="A72" s="143" t="s">
        <v>48</v>
      </c>
      <c r="B72" s="143"/>
      <c r="C72" s="143"/>
      <c r="D72" s="143"/>
      <c r="E72" s="82">
        <f>+COUNT(G17:G62)</f>
        <v>46</v>
      </c>
      <c r="F72" s="76">
        <f>+G63</f>
        <v>138872.13000000003</v>
      </c>
      <c r="G72" s="115"/>
    </row>
    <row r="73" spans="1:17">
      <c r="A73" s="143" t="s">
        <v>54</v>
      </c>
      <c r="B73" s="143"/>
      <c r="C73" s="143"/>
      <c r="D73" s="143"/>
      <c r="E73" s="82"/>
      <c r="F73" s="85">
        <f>+G69</f>
        <v>-103768.97</v>
      </c>
      <c r="G73" s="115"/>
      <c r="L73" s="141"/>
      <c r="M73" s="141"/>
      <c r="N73" s="141"/>
      <c r="O73" s="141"/>
      <c r="P73" s="141"/>
      <c r="Q73" s="1"/>
    </row>
    <row r="74" spans="1:17" ht="29.25" customHeight="1">
      <c r="A74" s="140" t="s">
        <v>47</v>
      </c>
      <c r="B74" s="140"/>
      <c r="C74" s="140"/>
      <c r="D74" s="140"/>
      <c r="E74" s="88">
        <f>SUM(E72:E72)</f>
        <v>46</v>
      </c>
      <c r="F74" s="76">
        <f>+SUM(F71:F73)</f>
        <v>35103.160000000033</v>
      </c>
      <c r="G74" s="115"/>
      <c r="J74" s="141"/>
      <c r="K74" s="141"/>
      <c r="L74" s="141"/>
      <c r="M74" s="141"/>
      <c r="N74" s="141"/>
      <c r="O74" s="1"/>
    </row>
    <row r="75" spans="1:17" ht="29.25" customHeight="1">
      <c r="A75" s="138" t="s">
        <v>56</v>
      </c>
      <c r="B75" s="138"/>
      <c r="C75" s="138"/>
      <c r="D75" s="138"/>
      <c r="E75" s="138"/>
      <c r="F75" s="138"/>
      <c r="G75" s="138"/>
    </row>
    <row r="76" spans="1:17" ht="16.5" customHeight="1">
      <c r="A76" s="138" t="s">
        <v>57</v>
      </c>
      <c r="B76" s="138"/>
      <c r="C76" s="138"/>
      <c r="D76" s="138"/>
      <c r="E76" s="138"/>
      <c r="F76" s="138"/>
      <c r="G76" s="138"/>
    </row>
    <row r="77" spans="1:17" ht="16.5" customHeight="1">
      <c r="A77" s="78"/>
      <c r="B77" s="78"/>
      <c r="C77" s="78"/>
      <c r="D77" s="78"/>
      <c r="E77" s="78"/>
      <c r="F77" s="78"/>
      <c r="G77" s="78"/>
    </row>
    <row r="78" spans="1:17" ht="16.5" customHeight="1">
      <c r="A78" s="78"/>
      <c r="B78" s="78"/>
      <c r="C78" s="78"/>
      <c r="D78" s="78"/>
      <c r="E78" s="78"/>
      <c r="F78" s="78"/>
      <c r="G78" s="78"/>
    </row>
    <row r="79" spans="1:17" ht="16.5" customHeight="1">
      <c r="C79"/>
      <c r="D79"/>
      <c r="E79"/>
      <c r="F79"/>
      <c r="G79"/>
    </row>
    <row r="80" spans="1:17" ht="16.5" customHeight="1">
      <c r="C80"/>
      <c r="D80"/>
      <c r="E80"/>
      <c r="F80"/>
      <c r="G80"/>
    </row>
    <row r="81" spans="3:7">
      <c r="C81"/>
      <c r="D81"/>
      <c r="E81"/>
      <c r="F81"/>
      <c r="G81"/>
    </row>
    <row r="82" spans="3:7">
      <c r="G82" s="64"/>
    </row>
    <row r="85" spans="3:7">
      <c r="E85"/>
      <c r="F85"/>
      <c r="G85"/>
    </row>
    <row r="86" spans="3:7">
      <c r="E86"/>
      <c r="F86"/>
      <c r="G86"/>
    </row>
    <row r="87" spans="3:7">
      <c r="C87"/>
      <c r="D87"/>
      <c r="E87"/>
      <c r="F87"/>
      <c r="G87"/>
    </row>
    <row r="88" spans="3:7">
      <c r="C88"/>
      <c r="D88"/>
      <c r="E88"/>
      <c r="F88"/>
      <c r="G88"/>
    </row>
    <row r="89" spans="3:7">
      <c r="C89"/>
      <c r="D89"/>
      <c r="E89"/>
      <c r="F89"/>
      <c r="G89"/>
    </row>
    <row r="90" spans="3:7">
      <c r="C90"/>
      <c r="D90"/>
      <c r="E90"/>
      <c r="F90"/>
      <c r="G90"/>
    </row>
    <row r="91" spans="3:7">
      <c r="C91"/>
      <c r="D91"/>
      <c r="E91"/>
      <c r="F91"/>
      <c r="G91"/>
    </row>
    <row r="92" spans="3:7">
      <c r="C92"/>
      <c r="D92"/>
      <c r="E92"/>
      <c r="F92"/>
      <c r="G92"/>
    </row>
    <row r="93" spans="3:7">
      <c r="C93"/>
      <c r="D93"/>
      <c r="E93"/>
      <c r="F93"/>
      <c r="G93"/>
    </row>
    <row r="94" spans="3:7">
      <c r="C94"/>
      <c r="D94"/>
      <c r="E94"/>
      <c r="F94"/>
      <c r="G94"/>
    </row>
    <row r="95" spans="3:7">
      <c r="C95"/>
      <c r="D95"/>
      <c r="E95"/>
      <c r="F95"/>
      <c r="G95"/>
    </row>
    <row r="96" spans="3:7">
      <c r="C96"/>
      <c r="D96"/>
      <c r="E96"/>
      <c r="F96"/>
      <c r="G96"/>
    </row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spans="1:7">
      <c r="C177"/>
      <c r="D177"/>
      <c r="E177"/>
      <c r="F177"/>
      <c r="G177"/>
    </row>
    <row r="178" spans="1:7">
      <c r="C178"/>
      <c r="D178"/>
      <c r="E178"/>
      <c r="F178"/>
      <c r="G178"/>
    </row>
    <row r="179" spans="1:7">
      <c r="C179"/>
      <c r="D179"/>
      <c r="E179"/>
      <c r="F179"/>
      <c r="G179"/>
    </row>
    <row r="180" spans="1:7">
      <c r="C180"/>
      <c r="D180"/>
      <c r="E180"/>
      <c r="F180"/>
      <c r="G180"/>
    </row>
    <row r="181" spans="1:7">
      <c r="C181"/>
      <c r="D181"/>
    </row>
    <row r="182" spans="1:7">
      <c r="C182"/>
      <c r="D182"/>
    </row>
    <row r="191" spans="1:7" s="1" customFormat="1">
      <c r="A191"/>
      <c r="B191"/>
      <c r="C191" s="77"/>
      <c r="D191" s="77"/>
      <c r="E191" s="77"/>
      <c r="F191" s="77"/>
    </row>
    <row r="192" spans="1:7">
      <c r="G192" s="1" t="s">
        <v>41</v>
      </c>
    </row>
    <row r="197" spans="3:7">
      <c r="E197"/>
      <c r="F197"/>
      <c r="G197"/>
    </row>
    <row r="198" spans="3:7">
      <c r="E198"/>
      <c r="F198"/>
      <c r="G198"/>
    </row>
    <row r="199" spans="3:7">
      <c r="C199"/>
      <c r="D199"/>
      <c r="E199"/>
      <c r="F199"/>
      <c r="G199"/>
    </row>
    <row r="200" spans="3:7">
      <c r="C200"/>
      <c r="D200"/>
      <c r="E200"/>
      <c r="F200"/>
      <c r="G200"/>
    </row>
    <row r="201" spans="3:7">
      <c r="C201"/>
      <c r="D201"/>
      <c r="E201"/>
      <c r="F201"/>
      <c r="G201"/>
    </row>
    <row r="202" spans="3:7">
      <c r="C202"/>
      <c r="D202"/>
      <c r="E202"/>
      <c r="F202"/>
      <c r="G202"/>
    </row>
    <row r="203" spans="3:7">
      <c r="C203"/>
      <c r="D203"/>
      <c r="E203"/>
      <c r="F203"/>
      <c r="G203"/>
    </row>
    <row r="204" spans="3:7">
      <c r="C204"/>
      <c r="D204"/>
      <c r="E204"/>
      <c r="F204"/>
      <c r="G204"/>
    </row>
    <row r="205" spans="3:7">
      <c r="C205"/>
      <c r="D205"/>
      <c r="E205"/>
      <c r="F205"/>
      <c r="G205"/>
    </row>
    <row r="206" spans="3:7">
      <c r="C206"/>
      <c r="D206"/>
      <c r="E206"/>
      <c r="F206"/>
      <c r="G206"/>
    </row>
    <row r="207" spans="3:7">
      <c r="C207"/>
      <c r="D207"/>
      <c r="E207"/>
      <c r="F207"/>
      <c r="G207"/>
    </row>
    <row r="208" spans="3:7">
      <c r="C208"/>
      <c r="D208"/>
      <c r="E208"/>
      <c r="F208"/>
      <c r="G208"/>
    </row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spans="3:7">
      <c r="C465"/>
      <c r="D465"/>
      <c r="E465"/>
      <c r="F465"/>
      <c r="G465"/>
    </row>
    <row r="466" spans="3:7">
      <c r="C466"/>
      <c r="D466"/>
      <c r="E466"/>
      <c r="F466"/>
      <c r="G466"/>
    </row>
    <row r="467" spans="3:7">
      <c r="C467"/>
      <c r="D467"/>
      <c r="E467"/>
      <c r="F467"/>
      <c r="G467"/>
    </row>
    <row r="468" spans="3:7">
      <c r="C468"/>
      <c r="D468"/>
    </row>
    <row r="469" spans="3:7">
      <c r="C469"/>
      <c r="D469"/>
      <c r="E469"/>
      <c r="F469"/>
      <c r="G469"/>
    </row>
    <row r="470" spans="3:7">
      <c r="E470"/>
      <c r="F470"/>
      <c r="G470"/>
    </row>
    <row r="471" spans="3:7">
      <c r="C471"/>
      <c r="D471"/>
      <c r="E471"/>
      <c r="F471"/>
      <c r="G471"/>
    </row>
    <row r="472" spans="3:7">
      <c r="C472"/>
      <c r="D472"/>
      <c r="E472"/>
      <c r="F472"/>
      <c r="G472"/>
    </row>
    <row r="473" spans="3:7">
      <c r="C473"/>
      <c r="D473"/>
      <c r="E473"/>
      <c r="F473"/>
      <c r="G473"/>
    </row>
    <row r="474" spans="3:7">
      <c r="C474"/>
      <c r="D474"/>
      <c r="E474"/>
      <c r="F474"/>
      <c r="G474"/>
    </row>
    <row r="475" spans="3:7">
      <c r="C475"/>
      <c r="D475"/>
      <c r="E475"/>
      <c r="F475"/>
      <c r="G475"/>
    </row>
    <row r="476" spans="3:7">
      <c r="C476"/>
      <c r="D476"/>
    </row>
    <row r="477" spans="3:7">
      <c r="C477"/>
      <c r="D477"/>
      <c r="E477"/>
      <c r="F477"/>
      <c r="G477"/>
    </row>
    <row r="478" spans="3:7">
      <c r="E478"/>
      <c r="F478"/>
      <c r="G478"/>
    </row>
    <row r="479" spans="3:7">
      <c r="C479"/>
      <c r="D479"/>
      <c r="E479"/>
      <c r="F479"/>
      <c r="G479"/>
    </row>
    <row r="480" spans="3:7">
      <c r="C480"/>
      <c r="D480"/>
      <c r="E480"/>
      <c r="F480"/>
      <c r="G480"/>
    </row>
    <row r="481" spans="3:7">
      <c r="C481"/>
      <c r="D481"/>
      <c r="E481"/>
      <c r="F481"/>
      <c r="G481"/>
    </row>
    <row r="482" spans="3:7">
      <c r="C482"/>
      <c r="D482"/>
      <c r="E482"/>
      <c r="F482"/>
      <c r="G482"/>
    </row>
    <row r="483" spans="3:7">
      <c r="C483"/>
      <c r="D483"/>
    </row>
    <row r="484" spans="3:7">
      <c r="C484"/>
      <c r="D484"/>
      <c r="E484"/>
      <c r="F484"/>
      <c r="G484"/>
    </row>
    <row r="485" spans="3:7">
      <c r="E485"/>
      <c r="F485"/>
      <c r="G485"/>
    </row>
    <row r="486" spans="3:7">
      <c r="C486"/>
      <c r="D486"/>
      <c r="E486"/>
      <c r="F486"/>
      <c r="G486"/>
    </row>
    <row r="487" spans="3:7">
      <c r="C487"/>
      <c r="D487"/>
      <c r="E487"/>
      <c r="F487"/>
      <c r="G487"/>
    </row>
    <row r="488" spans="3:7">
      <c r="C488"/>
      <c r="D488"/>
      <c r="E488"/>
      <c r="F488"/>
      <c r="G488"/>
    </row>
    <row r="489" spans="3:7">
      <c r="C489"/>
      <c r="D489"/>
      <c r="E489"/>
      <c r="F489"/>
      <c r="G489"/>
    </row>
    <row r="490" spans="3:7">
      <c r="C490"/>
      <c r="D490"/>
      <c r="E490"/>
      <c r="F490"/>
      <c r="G490"/>
    </row>
    <row r="491" spans="3:7">
      <c r="C491"/>
      <c r="D491"/>
      <c r="E491"/>
      <c r="F491"/>
      <c r="G491"/>
    </row>
    <row r="492" spans="3:7">
      <c r="C492"/>
      <c r="D492"/>
      <c r="E492"/>
      <c r="F492"/>
      <c r="G492"/>
    </row>
    <row r="493" spans="3:7">
      <c r="C493"/>
      <c r="D493"/>
      <c r="E493"/>
      <c r="F493"/>
      <c r="G493"/>
    </row>
    <row r="494" spans="3:7">
      <c r="C494"/>
      <c r="D494"/>
      <c r="E494"/>
      <c r="F494"/>
      <c r="G494"/>
    </row>
    <row r="495" spans="3:7">
      <c r="C495"/>
      <c r="D495"/>
      <c r="E495"/>
      <c r="F495"/>
      <c r="G495"/>
    </row>
    <row r="496" spans="3:7">
      <c r="C496"/>
      <c r="D496"/>
      <c r="E496"/>
      <c r="F496"/>
      <c r="G496"/>
    </row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spans="3:7">
      <c r="C577"/>
      <c r="D577"/>
      <c r="E577"/>
      <c r="F577"/>
      <c r="G577"/>
    </row>
    <row r="578" spans="3:7">
      <c r="C578"/>
      <c r="D578"/>
      <c r="E578"/>
      <c r="F578"/>
      <c r="G578"/>
    </row>
    <row r="579" spans="3:7">
      <c r="C579"/>
      <c r="D579"/>
      <c r="E579"/>
      <c r="F579"/>
      <c r="G579"/>
    </row>
    <row r="580" spans="3:7">
      <c r="C580"/>
      <c r="D580"/>
    </row>
    <row r="581" spans="3:7">
      <c r="C581"/>
      <c r="D581"/>
    </row>
    <row r="595" spans="3:7">
      <c r="E595"/>
      <c r="F595"/>
      <c r="G595"/>
    </row>
    <row r="597" spans="3:7">
      <c r="C597"/>
      <c r="D597"/>
    </row>
    <row r="605" spans="3:7">
      <c r="E605"/>
      <c r="F605"/>
      <c r="G605"/>
    </row>
    <row r="607" spans="3:7">
      <c r="C607"/>
      <c r="D607"/>
    </row>
  </sheetData>
  <autoFilter ref="A16:G62" xr:uid="{00000000-0001-0000-0000-000000000000}">
    <filterColumn colId="2" showButton="0"/>
    <filterColumn colId="3" showButton="0"/>
    <filterColumn colId="4" showButton="0"/>
    <sortState xmlns:xlrd2="http://schemas.microsoft.com/office/spreadsheetml/2017/richdata2" ref="A17:G62">
      <sortCondition ref="B16:B62"/>
    </sortState>
  </autoFilter>
  <mergeCells count="33">
    <mergeCell ref="A8:G8"/>
    <mergeCell ref="E9:G9"/>
    <mergeCell ref="A15:G15"/>
    <mergeCell ref="C16:F16"/>
    <mergeCell ref="A71:D71"/>
    <mergeCell ref="A64:G64"/>
    <mergeCell ref="A63:F63"/>
    <mergeCell ref="A7:G7"/>
    <mergeCell ref="B2:G2"/>
    <mergeCell ref="A3:G3"/>
    <mergeCell ref="A4:G4"/>
    <mergeCell ref="A5:G5"/>
    <mergeCell ref="A6:G6"/>
    <mergeCell ref="H12:K12"/>
    <mergeCell ref="A13:C13"/>
    <mergeCell ref="E13:G13"/>
    <mergeCell ref="A14:G14"/>
    <mergeCell ref="E10:E12"/>
    <mergeCell ref="F10:G10"/>
    <mergeCell ref="A11:B11"/>
    <mergeCell ref="F11:G12"/>
    <mergeCell ref="A12:B12"/>
    <mergeCell ref="A10:B10"/>
    <mergeCell ref="A76:G76"/>
    <mergeCell ref="C65:F65"/>
    <mergeCell ref="A74:D74"/>
    <mergeCell ref="J74:N74"/>
    <mergeCell ref="A69:F69"/>
    <mergeCell ref="A72:D72"/>
    <mergeCell ref="A70:D70"/>
    <mergeCell ref="A75:G75"/>
    <mergeCell ref="A73:D73"/>
    <mergeCell ref="L73:P73"/>
  </mergeCells>
  <pageMargins left="0.7" right="0.7" top="0.75" bottom="0.75" header="0.3" footer="0.3"/>
  <pageSetup paperSize="9" scale="37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7"/>
  <sheetViews>
    <sheetView topLeftCell="B1" zoomScale="85" zoomScaleNormal="85" workbookViewId="0">
      <pane ySplit="10" topLeftCell="A11" activePane="bottomLeft" state="frozen"/>
      <selection activeCell="B1" sqref="B1"/>
      <selection pane="bottomLeft" activeCell="C13" sqref="C13"/>
    </sheetView>
  </sheetViews>
  <sheetFormatPr baseColWidth="10" defaultRowHeight="14.25"/>
  <cols>
    <col min="1" max="1" width="11.42578125" style="5" hidden="1" customWidth="1"/>
    <col min="2" max="2" width="15.7109375" style="24" customWidth="1"/>
    <col min="3" max="3" width="59.28515625" style="23" customWidth="1"/>
    <col min="4" max="4" width="9.5703125" style="120" customWidth="1"/>
    <col min="5" max="5" width="15" style="120" customWidth="1"/>
    <col min="6" max="6" width="16" style="131" customWidth="1"/>
    <col min="7" max="7" width="16.140625" style="131" customWidth="1"/>
    <col min="8" max="8" width="16.5703125" style="131" customWidth="1"/>
    <col min="9" max="9" width="21.5703125" style="5" customWidth="1"/>
    <col min="10" max="10" width="15.28515625" style="5" bestFit="1" customWidth="1"/>
    <col min="11" max="255" width="11.42578125" style="5"/>
    <col min="256" max="256" width="0" style="5" hidden="1" customWidth="1"/>
    <col min="257" max="257" width="5.28515625" style="5" customWidth="1"/>
    <col min="258" max="258" width="8" style="5" customWidth="1"/>
    <col min="259" max="259" width="39.42578125" style="5" customWidth="1"/>
    <col min="260" max="260" width="4.85546875" style="5" customWidth="1"/>
    <col min="261" max="262" width="10.42578125" style="5" customWidth="1"/>
    <col min="263" max="263" width="8.140625" style="5" customWidth="1"/>
    <col min="264" max="511" width="11.42578125" style="5"/>
    <col min="512" max="512" width="0" style="5" hidden="1" customWidth="1"/>
    <col min="513" max="513" width="5.28515625" style="5" customWidth="1"/>
    <col min="514" max="514" width="8" style="5" customWidth="1"/>
    <col min="515" max="515" width="39.42578125" style="5" customWidth="1"/>
    <col min="516" max="516" width="4.85546875" style="5" customWidth="1"/>
    <col min="517" max="518" width="10.42578125" style="5" customWidth="1"/>
    <col min="519" max="519" width="8.140625" style="5" customWidth="1"/>
    <col min="520" max="767" width="11.42578125" style="5"/>
    <col min="768" max="768" width="0" style="5" hidden="1" customWidth="1"/>
    <col min="769" max="769" width="5.28515625" style="5" customWidth="1"/>
    <col min="770" max="770" width="8" style="5" customWidth="1"/>
    <col min="771" max="771" width="39.42578125" style="5" customWidth="1"/>
    <col min="772" max="772" width="4.85546875" style="5" customWidth="1"/>
    <col min="773" max="774" width="10.42578125" style="5" customWidth="1"/>
    <col min="775" max="775" width="8.140625" style="5" customWidth="1"/>
    <col min="776" max="1023" width="11.42578125" style="5"/>
    <col min="1024" max="1024" width="0" style="5" hidden="1" customWidth="1"/>
    <col min="1025" max="1025" width="5.28515625" style="5" customWidth="1"/>
    <col min="1026" max="1026" width="8" style="5" customWidth="1"/>
    <col min="1027" max="1027" width="39.42578125" style="5" customWidth="1"/>
    <col min="1028" max="1028" width="4.85546875" style="5" customWidth="1"/>
    <col min="1029" max="1030" width="10.42578125" style="5" customWidth="1"/>
    <col min="1031" max="1031" width="8.140625" style="5" customWidth="1"/>
    <col min="1032" max="1279" width="11.42578125" style="5"/>
    <col min="1280" max="1280" width="0" style="5" hidden="1" customWidth="1"/>
    <col min="1281" max="1281" width="5.28515625" style="5" customWidth="1"/>
    <col min="1282" max="1282" width="8" style="5" customWidth="1"/>
    <col min="1283" max="1283" width="39.42578125" style="5" customWidth="1"/>
    <col min="1284" max="1284" width="4.85546875" style="5" customWidth="1"/>
    <col min="1285" max="1286" width="10.42578125" style="5" customWidth="1"/>
    <col min="1287" max="1287" width="8.140625" style="5" customWidth="1"/>
    <col min="1288" max="1535" width="11.42578125" style="5"/>
    <col min="1536" max="1536" width="0" style="5" hidden="1" customWidth="1"/>
    <col min="1537" max="1537" width="5.28515625" style="5" customWidth="1"/>
    <col min="1538" max="1538" width="8" style="5" customWidth="1"/>
    <col min="1539" max="1539" width="39.42578125" style="5" customWidth="1"/>
    <col min="1540" max="1540" width="4.85546875" style="5" customWidth="1"/>
    <col min="1541" max="1542" width="10.42578125" style="5" customWidth="1"/>
    <col min="1543" max="1543" width="8.140625" style="5" customWidth="1"/>
    <col min="1544" max="1791" width="11.42578125" style="5"/>
    <col min="1792" max="1792" width="0" style="5" hidden="1" customWidth="1"/>
    <col min="1793" max="1793" width="5.28515625" style="5" customWidth="1"/>
    <col min="1794" max="1794" width="8" style="5" customWidth="1"/>
    <col min="1795" max="1795" width="39.42578125" style="5" customWidth="1"/>
    <col min="1796" max="1796" width="4.85546875" style="5" customWidth="1"/>
    <col min="1797" max="1798" width="10.42578125" style="5" customWidth="1"/>
    <col min="1799" max="1799" width="8.140625" style="5" customWidth="1"/>
    <col min="1800" max="2047" width="11.42578125" style="5"/>
    <col min="2048" max="2048" width="0" style="5" hidden="1" customWidth="1"/>
    <col min="2049" max="2049" width="5.28515625" style="5" customWidth="1"/>
    <col min="2050" max="2050" width="8" style="5" customWidth="1"/>
    <col min="2051" max="2051" width="39.42578125" style="5" customWidth="1"/>
    <col min="2052" max="2052" width="4.85546875" style="5" customWidth="1"/>
    <col min="2053" max="2054" width="10.42578125" style="5" customWidth="1"/>
    <col min="2055" max="2055" width="8.140625" style="5" customWidth="1"/>
    <col min="2056" max="2303" width="11.42578125" style="5"/>
    <col min="2304" max="2304" width="0" style="5" hidden="1" customWidth="1"/>
    <col min="2305" max="2305" width="5.28515625" style="5" customWidth="1"/>
    <col min="2306" max="2306" width="8" style="5" customWidth="1"/>
    <col min="2307" max="2307" width="39.42578125" style="5" customWidth="1"/>
    <col min="2308" max="2308" width="4.85546875" style="5" customWidth="1"/>
    <col min="2309" max="2310" width="10.42578125" style="5" customWidth="1"/>
    <col min="2311" max="2311" width="8.140625" style="5" customWidth="1"/>
    <col min="2312" max="2559" width="11.42578125" style="5"/>
    <col min="2560" max="2560" width="0" style="5" hidden="1" customWidth="1"/>
    <col min="2561" max="2561" width="5.28515625" style="5" customWidth="1"/>
    <col min="2562" max="2562" width="8" style="5" customWidth="1"/>
    <col min="2563" max="2563" width="39.42578125" style="5" customWidth="1"/>
    <col min="2564" max="2564" width="4.85546875" style="5" customWidth="1"/>
    <col min="2565" max="2566" width="10.42578125" style="5" customWidth="1"/>
    <col min="2567" max="2567" width="8.140625" style="5" customWidth="1"/>
    <col min="2568" max="2815" width="11.42578125" style="5"/>
    <col min="2816" max="2816" width="0" style="5" hidden="1" customWidth="1"/>
    <col min="2817" max="2817" width="5.28515625" style="5" customWidth="1"/>
    <col min="2818" max="2818" width="8" style="5" customWidth="1"/>
    <col min="2819" max="2819" width="39.42578125" style="5" customWidth="1"/>
    <col min="2820" max="2820" width="4.85546875" style="5" customWidth="1"/>
    <col min="2821" max="2822" width="10.42578125" style="5" customWidth="1"/>
    <col min="2823" max="2823" width="8.140625" style="5" customWidth="1"/>
    <col min="2824" max="3071" width="11.42578125" style="5"/>
    <col min="3072" max="3072" width="0" style="5" hidden="1" customWidth="1"/>
    <col min="3073" max="3073" width="5.28515625" style="5" customWidth="1"/>
    <col min="3074" max="3074" width="8" style="5" customWidth="1"/>
    <col min="3075" max="3075" width="39.42578125" style="5" customWidth="1"/>
    <col min="3076" max="3076" width="4.85546875" style="5" customWidth="1"/>
    <col min="3077" max="3078" width="10.42578125" style="5" customWidth="1"/>
    <col min="3079" max="3079" width="8.140625" style="5" customWidth="1"/>
    <col min="3080" max="3327" width="11.42578125" style="5"/>
    <col min="3328" max="3328" width="0" style="5" hidden="1" customWidth="1"/>
    <col min="3329" max="3329" width="5.28515625" style="5" customWidth="1"/>
    <col min="3330" max="3330" width="8" style="5" customWidth="1"/>
    <col min="3331" max="3331" width="39.42578125" style="5" customWidth="1"/>
    <col min="3332" max="3332" width="4.85546875" style="5" customWidth="1"/>
    <col min="3333" max="3334" width="10.42578125" style="5" customWidth="1"/>
    <col min="3335" max="3335" width="8.140625" style="5" customWidth="1"/>
    <col min="3336" max="3583" width="11.42578125" style="5"/>
    <col min="3584" max="3584" width="0" style="5" hidden="1" customWidth="1"/>
    <col min="3585" max="3585" width="5.28515625" style="5" customWidth="1"/>
    <col min="3586" max="3586" width="8" style="5" customWidth="1"/>
    <col min="3587" max="3587" width="39.42578125" style="5" customWidth="1"/>
    <col min="3588" max="3588" width="4.85546875" style="5" customWidth="1"/>
    <col min="3589" max="3590" width="10.42578125" style="5" customWidth="1"/>
    <col min="3591" max="3591" width="8.140625" style="5" customWidth="1"/>
    <col min="3592" max="3839" width="11.42578125" style="5"/>
    <col min="3840" max="3840" width="0" style="5" hidden="1" customWidth="1"/>
    <col min="3841" max="3841" width="5.28515625" style="5" customWidth="1"/>
    <col min="3842" max="3842" width="8" style="5" customWidth="1"/>
    <col min="3843" max="3843" width="39.42578125" style="5" customWidth="1"/>
    <col min="3844" max="3844" width="4.85546875" style="5" customWidth="1"/>
    <col min="3845" max="3846" width="10.42578125" style="5" customWidth="1"/>
    <col min="3847" max="3847" width="8.140625" style="5" customWidth="1"/>
    <col min="3848" max="4095" width="11.42578125" style="5"/>
    <col min="4096" max="4096" width="0" style="5" hidden="1" customWidth="1"/>
    <col min="4097" max="4097" width="5.28515625" style="5" customWidth="1"/>
    <col min="4098" max="4098" width="8" style="5" customWidth="1"/>
    <col min="4099" max="4099" width="39.42578125" style="5" customWidth="1"/>
    <col min="4100" max="4100" width="4.85546875" style="5" customWidth="1"/>
    <col min="4101" max="4102" width="10.42578125" style="5" customWidth="1"/>
    <col min="4103" max="4103" width="8.140625" style="5" customWidth="1"/>
    <col min="4104" max="4351" width="11.42578125" style="5"/>
    <col min="4352" max="4352" width="0" style="5" hidden="1" customWidth="1"/>
    <col min="4353" max="4353" width="5.28515625" style="5" customWidth="1"/>
    <col min="4354" max="4354" width="8" style="5" customWidth="1"/>
    <col min="4355" max="4355" width="39.42578125" style="5" customWidth="1"/>
    <col min="4356" max="4356" width="4.85546875" style="5" customWidth="1"/>
    <col min="4357" max="4358" width="10.42578125" style="5" customWidth="1"/>
    <col min="4359" max="4359" width="8.140625" style="5" customWidth="1"/>
    <col min="4360" max="4607" width="11.42578125" style="5"/>
    <col min="4608" max="4608" width="0" style="5" hidden="1" customWidth="1"/>
    <col min="4609" max="4609" width="5.28515625" style="5" customWidth="1"/>
    <col min="4610" max="4610" width="8" style="5" customWidth="1"/>
    <col min="4611" max="4611" width="39.42578125" style="5" customWidth="1"/>
    <col min="4612" max="4612" width="4.85546875" style="5" customWidth="1"/>
    <col min="4613" max="4614" width="10.42578125" style="5" customWidth="1"/>
    <col min="4615" max="4615" width="8.140625" style="5" customWidth="1"/>
    <col min="4616" max="4863" width="11.42578125" style="5"/>
    <col min="4864" max="4864" width="0" style="5" hidden="1" customWidth="1"/>
    <col min="4865" max="4865" width="5.28515625" style="5" customWidth="1"/>
    <col min="4866" max="4866" width="8" style="5" customWidth="1"/>
    <col min="4867" max="4867" width="39.42578125" style="5" customWidth="1"/>
    <col min="4868" max="4868" width="4.85546875" style="5" customWidth="1"/>
    <col min="4869" max="4870" width="10.42578125" style="5" customWidth="1"/>
    <col min="4871" max="4871" width="8.140625" style="5" customWidth="1"/>
    <col min="4872" max="5119" width="11.42578125" style="5"/>
    <col min="5120" max="5120" width="0" style="5" hidden="1" customWidth="1"/>
    <col min="5121" max="5121" width="5.28515625" style="5" customWidth="1"/>
    <col min="5122" max="5122" width="8" style="5" customWidth="1"/>
    <col min="5123" max="5123" width="39.42578125" style="5" customWidth="1"/>
    <col min="5124" max="5124" width="4.85546875" style="5" customWidth="1"/>
    <col min="5125" max="5126" width="10.42578125" style="5" customWidth="1"/>
    <col min="5127" max="5127" width="8.140625" style="5" customWidth="1"/>
    <col min="5128" max="5375" width="11.42578125" style="5"/>
    <col min="5376" max="5376" width="0" style="5" hidden="1" customWidth="1"/>
    <col min="5377" max="5377" width="5.28515625" style="5" customWidth="1"/>
    <col min="5378" max="5378" width="8" style="5" customWidth="1"/>
    <col min="5379" max="5379" width="39.42578125" style="5" customWidth="1"/>
    <col min="5380" max="5380" width="4.85546875" style="5" customWidth="1"/>
    <col min="5381" max="5382" width="10.42578125" style="5" customWidth="1"/>
    <col min="5383" max="5383" width="8.140625" style="5" customWidth="1"/>
    <col min="5384" max="5631" width="11.42578125" style="5"/>
    <col min="5632" max="5632" width="0" style="5" hidden="1" customWidth="1"/>
    <col min="5633" max="5633" width="5.28515625" style="5" customWidth="1"/>
    <col min="5634" max="5634" width="8" style="5" customWidth="1"/>
    <col min="5635" max="5635" width="39.42578125" style="5" customWidth="1"/>
    <col min="5636" max="5636" width="4.85546875" style="5" customWidth="1"/>
    <col min="5637" max="5638" width="10.42578125" style="5" customWidth="1"/>
    <col min="5639" max="5639" width="8.140625" style="5" customWidth="1"/>
    <col min="5640" max="5887" width="11.42578125" style="5"/>
    <col min="5888" max="5888" width="0" style="5" hidden="1" customWidth="1"/>
    <col min="5889" max="5889" width="5.28515625" style="5" customWidth="1"/>
    <col min="5890" max="5890" width="8" style="5" customWidth="1"/>
    <col min="5891" max="5891" width="39.42578125" style="5" customWidth="1"/>
    <col min="5892" max="5892" width="4.85546875" style="5" customWidth="1"/>
    <col min="5893" max="5894" width="10.42578125" style="5" customWidth="1"/>
    <col min="5895" max="5895" width="8.140625" style="5" customWidth="1"/>
    <col min="5896" max="6143" width="11.42578125" style="5"/>
    <col min="6144" max="6144" width="0" style="5" hidden="1" customWidth="1"/>
    <col min="6145" max="6145" width="5.28515625" style="5" customWidth="1"/>
    <col min="6146" max="6146" width="8" style="5" customWidth="1"/>
    <col min="6147" max="6147" width="39.42578125" style="5" customWidth="1"/>
    <col min="6148" max="6148" width="4.85546875" style="5" customWidth="1"/>
    <col min="6149" max="6150" width="10.42578125" style="5" customWidth="1"/>
    <col min="6151" max="6151" width="8.140625" style="5" customWidth="1"/>
    <col min="6152" max="6399" width="11.42578125" style="5"/>
    <col min="6400" max="6400" width="0" style="5" hidden="1" customWidth="1"/>
    <col min="6401" max="6401" width="5.28515625" style="5" customWidth="1"/>
    <col min="6402" max="6402" width="8" style="5" customWidth="1"/>
    <col min="6403" max="6403" width="39.42578125" style="5" customWidth="1"/>
    <col min="6404" max="6404" width="4.85546875" style="5" customWidth="1"/>
    <col min="6405" max="6406" width="10.42578125" style="5" customWidth="1"/>
    <col min="6407" max="6407" width="8.140625" style="5" customWidth="1"/>
    <col min="6408" max="6655" width="11.42578125" style="5"/>
    <col min="6656" max="6656" width="0" style="5" hidden="1" customWidth="1"/>
    <col min="6657" max="6657" width="5.28515625" style="5" customWidth="1"/>
    <col min="6658" max="6658" width="8" style="5" customWidth="1"/>
    <col min="6659" max="6659" width="39.42578125" style="5" customWidth="1"/>
    <col min="6660" max="6660" width="4.85546875" style="5" customWidth="1"/>
    <col min="6661" max="6662" width="10.42578125" style="5" customWidth="1"/>
    <col min="6663" max="6663" width="8.140625" style="5" customWidth="1"/>
    <col min="6664" max="6911" width="11.42578125" style="5"/>
    <col min="6912" max="6912" width="0" style="5" hidden="1" customWidth="1"/>
    <col min="6913" max="6913" width="5.28515625" style="5" customWidth="1"/>
    <col min="6914" max="6914" width="8" style="5" customWidth="1"/>
    <col min="6915" max="6915" width="39.42578125" style="5" customWidth="1"/>
    <col min="6916" max="6916" width="4.85546875" style="5" customWidth="1"/>
    <col min="6917" max="6918" width="10.42578125" style="5" customWidth="1"/>
    <col min="6919" max="6919" width="8.140625" style="5" customWidth="1"/>
    <col min="6920" max="7167" width="11.42578125" style="5"/>
    <col min="7168" max="7168" width="0" style="5" hidden="1" customWidth="1"/>
    <col min="7169" max="7169" width="5.28515625" style="5" customWidth="1"/>
    <col min="7170" max="7170" width="8" style="5" customWidth="1"/>
    <col min="7171" max="7171" width="39.42578125" style="5" customWidth="1"/>
    <col min="7172" max="7172" width="4.85546875" style="5" customWidth="1"/>
    <col min="7173" max="7174" width="10.42578125" style="5" customWidth="1"/>
    <col min="7175" max="7175" width="8.140625" style="5" customWidth="1"/>
    <col min="7176" max="7423" width="11.42578125" style="5"/>
    <col min="7424" max="7424" width="0" style="5" hidden="1" customWidth="1"/>
    <col min="7425" max="7425" width="5.28515625" style="5" customWidth="1"/>
    <col min="7426" max="7426" width="8" style="5" customWidth="1"/>
    <col min="7427" max="7427" width="39.42578125" style="5" customWidth="1"/>
    <col min="7428" max="7428" width="4.85546875" style="5" customWidth="1"/>
    <col min="7429" max="7430" width="10.42578125" style="5" customWidth="1"/>
    <col min="7431" max="7431" width="8.140625" style="5" customWidth="1"/>
    <col min="7432" max="7679" width="11.42578125" style="5"/>
    <col min="7680" max="7680" width="0" style="5" hidden="1" customWidth="1"/>
    <col min="7681" max="7681" width="5.28515625" style="5" customWidth="1"/>
    <col min="7682" max="7682" width="8" style="5" customWidth="1"/>
    <col min="7683" max="7683" width="39.42578125" style="5" customWidth="1"/>
    <col min="7684" max="7684" width="4.85546875" style="5" customWidth="1"/>
    <col min="7685" max="7686" width="10.42578125" style="5" customWidth="1"/>
    <col min="7687" max="7687" width="8.140625" style="5" customWidth="1"/>
    <col min="7688" max="7935" width="11.42578125" style="5"/>
    <col min="7936" max="7936" width="0" style="5" hidden="1" customWidth="1"/>
    <col min="7937" max="7937" width="5.28515625" style="5" customWidth="1"/>
    <col min="7938" max="7938" width="8" style="5" customWidth="1"/>
    <col min="7939" max="7939" width="39.42578125" style="5" customWidth="1"/>
    <col min="7940" max="7940" width="4.85546875" style="5" customWidth="1"/>
    <col min="7941" max="7942" width="10.42578125" style="5" customWidth="1"/>
    <col min="7943" max="7943" width="8.140625" style="5" customWidth="1"/>
    <col min="7944" max="8191" width="11.42578125" style="5"/>
    <col min="8192" max="8192" width="0" style="5" hidden="1" customWidth="1"/>
    <col min="8193" max="8193" width="5.28515625" style="5" customWidth="1"/>
    <col min="8194" max="8194" width="8" style="5" customWidth="1"/>
    <col min="8195" max="8195" width="39.42578125" style="5" customWidth="1"/>
    <col min="8196" max="8196" width="4.85546875" style="5" customWidth="1"/>
    <col min="8197" max="8198" width="10.42578125" style="5" customWidth="1"/>
    <col min="8199" max="8199" width="8.140625" style="5" customWidth="1"/>
    <col min="8200" max="8447" width="11.42578125" style="5"/>
    <col min="8448" max="8448" width="0" style="5" hidden="1" customWidth="1"/>
    <col min="8449" max="8449" width="5.28515625" style="5" customWidth="1"/>
    <col min="8450" max="8450" width="8" style="5" customWidth="1"/>
    <col min="8451" max="8451" width="39.42578125" style="5" customWidth="1"/>
    <col min="8452" max="8452" width="4.85546875" style="5" customWidth="1"/>
    <col min="8453" max="8454" width="10.42578125" style="5" customWidth="1"/>
    <col min="8455" max="8455" width="8.140625" style="5" customWidth="1"/>
    <col min="8456" max="8703" width="11.42578125" style="5"/>
    <col min="8704" max="8704" width="0" style="5" hidden="1" customWidth="1"/>
    <col min="8705" max="8705" width="5.28515625" style="5" customWidth="1"/>
    <col min="8706" max="8706" width="8" style="5" customWidth="1"/>
    <col min="8707" max="8707" width="39.42578125" style="5" customWidth="1"/>
    <col min="8708" max="8708" width="4.85546875" style="5" customWidth="1"/>
    <col min="8709" max="8710" width="10.42578125" style="5" customWidth="1"/>
    <col min="8711" max="8711" width="8.140625" style="5" customWidth="1"/>
    <col min="8712" max="8959" width="11.42578125" style="5"/>
    <col min="8960" max="8960" width="0" style="5" hidden="1" customWidth="1"/>
    <col min="8961" max="8961" width="5.28515625" style="5" customWidth="1"/>
    <col min="8962" max="8962" width="8" style="5" customWidth="1"/>
    <col min="8963" max="8963" width="39.42578125" style="5" customWidth="1"/>
    <col min="8964" max="8964" width="4.85546875" style="5" customWidth="1"/>
    <col min="8965" max="8966" width="10.42578125" style="5" customWidth="1"/>
    <col min="8967" max="8967" width="8.140625" style="5" customWidth="1"/>
    <col min="8968" max="9215" width="11.42578125" style="5"/>
    <col min="9216" max="9216" width="0" style="5" hidden="1" customWidth="1"/>
    <col min="9217" max="9217" width="5.28515625" style="5" customWidth="1"/>
    <col min="9218" max="9218" width="8" style="5" customWidth="1"/>
    <col min="9219" max="9219" width="39.42578125" style="5" customWidth="1"/>
    <col min="9220" max="9220" width="4.85546875" style="5" customWidth="1"/>
    <col min="9221" max="9222" width="10.42578125" style="5" customWidth="1"/>
    <col min="9223" max="9223" width="8.140625" style="5" customWidth="1"/>
    <col min="9224" max="9471" width="11.42578125" style="5"/>
    <col min="9472" max="9472" width="0" style="5" hidden="1" customWidth="1"/>
    <col min="9473" max="9473" width="5.28515625" style="5" customWidth="1"/>
    <col min="9474" max="9474" width="8" style="5" customWidth="1"/>
    <col min="9475" max="9475" width="39.42578125" style="5" customWidth="1"/>
    <col min="9476" max="9476" width="4.85546875" style="5" customWidth="1"/>
    <col min="9477" max="9478" width="10.42578125" style="5" customWidth="1"/>
    <col min="9479" max="9479" width="8.140625" style="5" customWidth="1"/>
    <col min="9480" max="9727" width="11.42578125" style="5"/>
    <col min="9728" max="9728" width="0" style="5" hidden="1" customWidth="1"/>
    <col min="9729" max="9729" width="5.28515625" style="5" customWidth="1"/>
    <col min="9730" max="9730" width="8" style="5" customWidth="1"/>
    <col min="9731" max="9731" width="39.42578125" style="5" customWidth="1"/>
    <col min="9732" max="9732" width="4.85546875" style="5" customWidth="1"/>
    <col min="9733" max="9734" width="10.42578125" style="5" customWidth="1"/>
    <col min="9735" max="9735" width="8.140625" style="5" customWidth="1"/>
    <col min="9736" max="9983" width="11.42578125" style="5"/>
    <col min="9984" max="9984" width="0" style="5" hidden="1" customWidth="1"/>
    <col min="9985" max="9985" width="5.28515625" style="5" customWidth="1"/>
    <col min="9986" max="9986" width="8" style="5" customWidth="1"/>
    <col min="9987" max="9987" width="39.42578125" style="5" customWidth="1"/>
    <col min="9988" max="9988" width="4.85546875" style="5" customWidth="1"/>
    <col min="9989" max="9990" width="10.42578125" style="5" customWidth="1"/>
    <col min="9991" max="9991" width="8.140625" style="5" customWidth="1"/>
    <col min="9992" max="10239" width="11.42578125" style="5"/>
    <col min="10240" max="10240" width="0" style="5" hidden="1" customWidth="1"/>
    <col min="10241" max="10241" width="5.28515625" style="5" customWidth="1"/>
    <col min="10242" max="10242" width="8" style="5" customWidth="1"/>
    <col min="10243" max="10243" width="39.42578125" style="5" customWidth="1"/>
    <col min="10244" max="10244" width="4.85546875" style="5" customWidth="1"/>
    <col min="10245" max="10246" width="10.42578125" style="5" customWidth="1"/>
    <col min="10247" max="10247" width="8.140625" style="5" customWidth="1"/>
    <col min="10248" max="10495" width="11.42578125" style="5"/>
    <col min="10496" max="10496" width="0" style="5" hidden="1" customWidth="1"/>
    <col min="10497" max="10497" width="5.28515625" style="5" customWidth="1"/>
    <col min="10498" max="10498" width="8" style="5" customWidth="1"/>
    <col min="10499" max="10499" width="39.42578125" style="5" customWidth="1"/>
    <col min="10500" max="10500" width="4.85546875" style="5" customWidth="1"/>
    <col min="10501" max="10502" width="10.42578125" style="5" customWidth="1"/>
    <col min="10503" max="10503" width="8.140625" style="5" customWidth="1"/>
    <col min="10504" max="10751" width="11.42578125" style="5"/>
    <col min="10752" max="10752" width="0" style="5" hidden="1" customWidth="1"/>
    <col min="10753" max="10753" width="5.28515625" style="5" customWidth="1"/>
    <col min="10754" max="10754" width="8" style="5" customWidth="1"/>
    <col min="10755" max="10755" width="39.42578125" style="5" customWidth="1"/>
    <col min="10756" max="10756" width="4.85546875" style="5" customWidth="1"/>
    <col min="10757" max="10758" width="10.42578125" style="5" customWidth="1"/>
    <col min="10759" max="10759" width="8.140625" style="5" customWidth="1"/>
    <col min="10760" max="11007" width="11.42578125" style="5"/>
    <col min="11008" max="11008" width="0" style="5" hidden="1" customWidth="1"/>
    <col min="11009" max="11009" width="5.28515625" style="5" customWidth="1"/>
    <col min="11010" max="11010" width="8" style="5" customWidth="1"/>
    <col min="11011" max="11011" width="39.42578125" style="5" customWidth="1"/>
    <col min="11012" max="11012" width="4.85546875" style="5" customWidth="1"/>
    <col min="11013" max="11014" width="10.42578125" style="5" customWidth="1"/>
    <col min="11015" max="11015" width="8.140625" style="5" customWidth="1"/>
    <col min="11016" max="11263" width="11.42578125" style="5"/>
    <col min="11264" max="11264" width="0" style="5" hidden="1" customWidth="1"/>
    <col min="11265" max="11265" width="5.28515625" style="5" customWidth="1"/>
    <col min="11266" max="11266" width="8" style="5" customWidth="1"/>
    <col min="11267" max="11267" width="39.42578125" style="5" customWidth="1"/>
    <col min="11268" max="11268" width="4.85546875" style="5" customWidth="1"/>
    <col min="11269" max="11270" width="10.42578125" style="5" customWidth="1"/>
    <col min="11271" max="11271" width="8.140625" style="5" customWidth="1"/>
    <col min="11272" max="11519" width="11.42578125" style="5"/>
    <col min="11520" max="11520" width="0" style="5" hidden="1" customWidth="1"/>
    <col min="11521" max="11521" width="5.28515625" style="5" customWidth="1"/>
    <col min="11522" max="11522" width="8" style="5" customWidth="1"/>
    <col min="11523" max="11523" width="39.42578125" style="5" customWidth="1"/>
    <col min="11524" max="11524" width="4.85546875" style="5" customWidth="1"/>
    <col min="11525" max="11526" width="10.42578125" style="5" customWidth="1"/>
    <col min="11527" max="11527" width="8.140625" style="5" customWidth="1"/>
    <col min="11528" max="11775" width="11.42578125" style="5"/>
    <col min="11776" max="11776" width="0" style="5" hidden="1" customWidth="1"/>
    <col min="11777" max="11777" width="5.28515625" style="5" customWidth="1"/>
    <col min="11778" max="11778" width="8" style="5" customWidth="1"/>
    <col min="11779" max="11779" width="39.42578125" style="5" customWidth="1"/>
    <col min="11780" max="11780" width="4.85546875" style="5" customWidth="1"/>
    <col min="11781" max="11782" width="10.42578125" style="5" customWidth="1"/>
    <col min="11783" max="11783" width="8.140625" style="5" customWidth="1"/>
    <col min="11784" max="12031" width="11.42578125" style="5"/>
    <col min="12032" max="12032" width="0" style="5" hidden="1" customWidth="1"/>
    <col min="12033" max="12033" width="5.28515625" style="5" customWidth="1"/>
    <col min="12034" max="12034" width="8" style="5" customWidth="1"/>
    <col min="12035" max="12035" width="39.42578125" style="5" customWidth="1"/>
    <col min="12036" max="12036" width="4.85546875" style="5" customWidth="1"/>
    <col min="12037" max="12038" width="10.42578125" style="5" customWidth="1"/>
    <col min="12039" max="12039" width="8.140625" style="5" customWidth="1"/>
    <col min="12040" max="12287" width="11.42578125" style="5"/>
    <col min="12288" max="12288" width="0" style="5" hidden="1" customWidth="1"/>
    <col min="12289" max="12289" width="5.28515625" style="5" customWidth="1"/>
    <col min="12290" max="12290" width="8" style="5" customWidth="1"/>
    <col min="12291" max="12291" width="39.42578125" style="5" customWidth="1"/>
    <col min="12292" max="12292" width="4.85546875" style="5" customWidth="1"/>
    <col min="12293" max="12294" width="10.42578125" style="5" customWidth="1"/>
    <col min="12295" max="12295" width="8.140625" style="5" customWidth="1"/>
    <col min="12296" max="12543" width="11.42578125" style="5"/>
    <col min="12544" max="12544" width="0" style="5" hidden="1" customWidth="1"/>
    <col min="12545" max="12545" width="5.28515625" style="5" customWidth="1"/>
    <col min="12546" max="12546" width="8" style="5" customWidth="1"/>
    <col min="12547" max="12547" width="39.42578125" style="5" customWidth="1"/>
    <col min="12548" max="12548" width="4.85546875" style="5" customWidth="1"/>
    <col min="12549" max="12550" width="10.42578125" style="5" customWidth="1"/>
    <col min="12551" max="12551" width="8.140625" style="5" customWidth="1"/>
    <col min="12552" max="12799" width="11.42578125" style="5"/>
    <col min="12800" max="12800" width="0" style="5" hidden="1" customWidth="1"/>
    <col min="12801" max="12801" width="5.28515625" style="5" customWidth="1"/>
    <col min="12802" max="12802" width="8" style="5" customWidth="1"/>
    <col min="12803" max="12803" width="39.42578125" style="5" customWidth="1"/>
    <col min="12804" max="12804" width="4.85546875" style="5" customWidth="1"/>
    <col min="12805" max="12806" width="10.42578125" style="5" customWidth="1"/>
    <col min="12807" max="12807" width="8.140625" style="5" customWidth="1"/>
    <col min="12808" max="13055" width="11.42578125" style="5"/>
    <col min="13056" max="13056" width="0" style="5" hidden="1" customWidth="1"/>
    <col min="13057" max="13057" width="5.28515625" style="5" customWidth="1"/>
    <col min="13058" max="13058" width="8" style="5" customWidth="1"/>
    <col min="13059" max="13059" width="39.42578125" style="5" customWidth="1"/>
    <col min="13060" max="13060" width="4.85546875" style="5" customWidth="1"/>
    <col min="13061" max="13062" width="10.42578125" style="5" customWidth="1"/>
    <col min="13063" max="13063" width="8.140625" style="5" customWidth="1"/>
    <col min="13064" max="13311" width="11.42578125" style="5"/>
    <col min="13312" max="13312" width="0" style="5" hidden="1" customWidth="1"/>
    <col min="13313" max="13313" width="5.28515625" style="5" customWidth="1"/>
    <col min="13314" max="13314" width="8" style="5" customWidth="1"/>
    <col min="13315" max="13315" width="39.42578125" style="5" customWidth="1"/>
    <col min="13316" max="13316" width="4.85546875" style="5" customWidth="1"/>
    <col min="13317" max="13318" width="10.42578125" style="5" customWidth="1"/>
    <col min="13319" max="13319" width="8.140625" style="5" customWidth="1"/>
    <col min="13320" max="13567" width="11.42578125" style="5"/>
    <col min="13568" max="13568" width="0" style="5" hidden="1" customWidth="1"/>
    <col min="13569" max="13569" width="5.28515625" style="5" customWidth="1"/>
    <col min="13570" max="13570" width="8" style="5" customWidth="1"/>
    <col min="13571" max="13571" width="39.42578125" style="5" customWidth="1"/>
    <col min="13572" max="13572" width="4.85546875" style="5" customWidth="1"/>
    <col min="13573" max="13574" width="10.42578125" style="5" customWidth="1"/>
    <col min="13575" max="13575" width="8.140625" style="5" customWidth="1"/>
    <col min="13576" max="13823" width="11.42578125" style="5"/>
    <col min="13824" max="13824" width="0" style="5" hidden="1" customWidth="1"/>
    <col min="13825" max="13825" width="5.28515625" style="5" customWidth="1"/>
    <col min="13826" max="13826" width="8" style="5" customWidth="1"/>
    <col min="13827" max="13827" width="39.42578125" style="5" customWidth="1"/>
    <col min="13828" max="13828" width="4.85546875" style="5" customWidth="1"/>
    <col min="13829" max="13830" width="10.42578125" style="5" customWidth="1"/>
    <col min="13831" max="13831" width="8.140625" style="5" customWidth="1"/>
    <col min="13832" max="14079" width="11.42578125" style="5"/>
    <col min="14080" max="14080" width="0" style="5" hidden="1" customWidth="1"/>
    <col min="14081" max="14081" width="5.28515625" style="5" customWidth="1"/>
    <col min="14082" max="14082" width="8" style="5" customWidth="1"/>
    <col min="14083" max="14083" width="39.42578125" style="5" customWidth="1"/>
    <col min="14084" max="14084" width="4.85546875" style="5" customWidth="1"/>
    <col min="14085" max="14086" width="10.42578125" style="5" customWidth="1"/>
    <col min="14087" max="14087" width="8.140625" style="5" customWidth="1"/>
    <col min="14088" max="14335" width="11.42578125" style="5"/>
    <col min="14336" max="14336" width="0" style="5" hidden="1" customWidth="1"/>
    <col min="14337" max="14337" width="5.28515625" style="5" customWidth="1"/>
    <col min="14338" max="14338" width="8" style="5" customWidth="1"/>
    <col min="14339" max="14339" width="39.42578125" style="5" customWidth="1"/>
    <col min="14340" max="14340" width="4.85546875" style="5" customWidth="1"/>
    <col min="14341" max="14342" width="10.42578125" style="5" customWidth="1"/>
    <col min="14343" max="14343" width="8.140625" style="5" customWidth="1"/>
    <col min="14344" max="14591" width="11.42578125" style="5"/>
    <col min="14592" max="14592" width="0" style="5" hidden="1" customWidth="1"/>
    <col min="14593" max="14593" width="5.28515625" style="5" customWidth="1"/>
    <col min="14594" max="14594" width="8" style="5" customWidth="1"/>
    <col min="14595" max="14595" width="39.42578125" style="5" customWidth="1"/>
    <col min="14596" max="14596" width="4.85546875" style="5" customWidth="1"/>
    <col min="14597" max="14598" width="10.42578125" style="5" customWidth="1"/>
    <col min="14599" max="14599" width="8.140625" style="5" customWidth="1"/>
    <col min="14600" max="14847" width="11.42578125" style="5"/>
    <col min="14848" max="14848" width="0" style="5" hidden="1" customWidth="1"/>
    <col min="14849" max="14849" width="5.28515625" style="5" customWidth="1"/>
    <col min="14850" max="14850" width="8" style="5" customWidth="1"/>
    <col min="14851" max="14851" width="39.42578125" style="5" customWidth="1"/>
    <col min="14852" max="14852" width="4.85546875" style="5" customWidth="1"/>
    <col min="14853" max="14854" width="10.42578125" style="5" customWidth="1"/>
    <col min="14855" max="14855" width="8.140625" style="5" customWidth="1"/>
    <col min="14856" max="15103" width="11.42578125" style="5"/>
    <col min="15104" max="15104" width="0" style="5" hidden="1" customWidth="1"/>
    <col min="15105" max="15105" width="5.28515625" style="5" customWidth="1"/>
    <col min="15106" max="15106" width="8" style="5" customWidth="1"/>
    <col min="15107" max="15107" width="39.42578125" style="5" customWidth="1"/>
    <col min="15108" max="15108" width="4.85546875" style="5" customWidth="1"/>
    <col min="15109" max="15110" width="10.42578125" style="5" customWidth="1"/>
    <col min="15111" max="15111" width="8.140625" style="5" customWidth="1"/>
    <col min="15112" max="15359" width="11.42578125" style="5"/>
    <col min="15360" max="15360" width="0" style="5" hidden="1" customWidth="1"/>
    <col min="15361" max="15361" width="5.28515625" style="5" customWidth="1"/>
    <col min="15362" max="15362" width="8" style="5" customWidth="1"/>
    <col min="15363" max="15363" width="39.42578125" style="5" customWidth="1"/>
    <col min="15364" max="15364" width="4.85546875" style="5" customWidth="1"/>
    <col min="15365" max="15366" width="10.42578125" style="5" customWidth="1"/>
    <col min="15367" max="15367" width="8.140625" style="5" customWidth="1"/>
    <col min="15368" max="15615" width="11.42578125" style="5"/>
    <col min="15616" max="15616" width="0" style="5" hidden="1" customWidth="1"/>
    <col min="15617" max="15617" width="5.28515625" style="5" customWidth="1"/>
    <col min="15618" max="15618" width="8" style="5" customWidth="1"/>
    <col min="15619" max="15619" width="39.42578125" style="5" customWidth="1"/>
    <col min="15620" max="15620" width="4.85546875" style="5" customWidth="1"/>
    <col min="15621" max="15622" width="10.42578125" style="5" customWidth="1"/>
    <col min="15623" max="15623" width="8.140625" style="5" customWidth="1"/>
    <col min="15624" max="15871" width="11.42578125" style="5"/>
    <col min="15872" max="15872" width="0" style="5" hidden="1" customWidth="1"/>
    <col min="15873" max="15873" width="5.28515625" style="5" customWidth="1"/>
    <col min="15874" max="15874" width="8" style="5" customWidth="1"/>
    <col min="15875" max="15875" width="39.42578125" style="5" customWidth="1"/>
    <col min="15876" max="15876" width="4.85546875" style="5" customWidth="1"/>
    <col min="15877" max="15878" width="10.42578125" style="5" customWidth="1"/>
    <col min="15879" max="15879" width="8.140625" style="5" customWidth="1"/>
    <col min="15880" max="16127" width="11.42578125" style="5"/>
    <col min="16128" max="16128" width="0" style="5" hidden="1" customWidth="1"/>
    <col min="16129" max="16129" width="5.28515625" style="5" customWidth="1"/>
    <col min="16130" max="16130" width="8" style="5" customWidth="1"/>
    <col min="16131" max="16131" width="39.42578125" style="5" customWidth="1"/>
    <col min="16132" max="16132" width="4.85546875" style="5" customWidth="1"/>
    <col min="16133" max="16134" width="10.42578125" style="5" customWidth="1"/>
    <col min="16135" max="16135" width="8.140625" style="5" customWidth="1"/>
    <col min="16136" max="16384" width="11.42578125" style="5"/>
  </cols>
  <sheetData>
    <row r="1" spans="1:8">
      <c r="C1" s="6"/>
    </row>
    <row r="2" spans="1:8" ht="15">
      <c r="A2" s="7" t="s">
        <v>15</v>
      </c>
      <c r="B2" s="154" t="s">
        <v>15</v>
      </c>
      <c r="C2" s="154"/>
      <c r="D2" s="154"/>
      <c r="E2" s="154"/>
      <c r="F2" s="154"/>
      <c r="G2" s="154"/>
      <c r="H2" s="154"/>
    </row>
    <row r="3" spans="1:8" ht="15">
      <c r="A3" s="154" t="s">
        <v>16</v>
      </c>
      <c r="B3" s="154"/>
      <c r="C3" s="154"/>
      <c r="D3" s="154"/>
      <c r="E3" s="154"/>
      <c r="F3" s="154"/>
      <c r="G3" s="154"/>
      <c r="H3" s="154"/>
    </row>
    <row r="4" spans="1:8" ht="15">
      <c r="A4" s="7"/>
      <c r="B4" s="154" t="s">
        <v>17</v>
      </c>
      <c r="C4" s="154"/>
      <c r="D4" s="154"/>
      <c r="E4" s="154"/>
      <c r="F4" s="154"/>
      <c r="G4" s="154"/>
      <c r="H4" s="154"/>
    </row>
    <row r="5" spans="1:8" ht="15">
      <c r="A5" s="9"/>
      <c r="B5" s="153" t="s">
        <v>18</v>
      </c>
      <c r="C5" s="153"/>
      <c r="D5" s="153"/>
      <c r="E5" s="153"/>
      <c r="F5" s="153"/>
      <c r="G5" s="153"/>
      <c r="H5" s="153"/>
    </row>
    <row r="6" spans="1:8" ht="15">
      <c r="A6" s="9"/>
      <c r="B6" s="153" t="s">
        <v>19</v>
      </c>
      <c r="C6" s="153"/>
      <c r="D6" s="153"/>
      <c r="E6" s="153"/>
      <c r="F6" s="153"/>
      <c r="G6" s="153"/>
      <c r="H6" s="153"/>
    </row>
    <row r="7" spans="1:8" ht="15">
      <c r="A7" s="10"/>
      <c r="B7" s="153" t="s">
        <v>20</v>
      </c>
      <c r="C7" s="153"/>
      <c r="D7" s="153"/>
      <c r="E7" s="153"/>
      <c r="F7" s="153"/>
      <c r="G7" s="153"/>
      <c r="H7" s="153"/>
    </row>
    <row r="9" spans="1:8" ht="15">
      <c r="B9" s="126"/>
      <c r="C9" s="11"/>
      <c r="D9" s="121"/>
      <c r="E9" s="121"/>
      <c r="F9" s="132"/>
      <c r="G9" s="132"/>
      <c r="H9" s="133"/>
    </row>
    <row r="10" spans="1:8" ht="30.75" customHeight="1">
      <c r="B10" s="127" t="s">
        <v>21</v>
      </c>
      <c r="C10" s="13" t="s">
        <v>22</v>
      </c>
      <c r="D10" s="122" t="s">
        <v>23</v>
      </c>
      <c r="E10" s="130" t="s">
        <v>109</v>
      </c>
      <c r="F10" s="134" t="s">
        <v>24</v>
      </c>
      <c r="G10" s="134" t="s">
        <v>25</v>
      </c>
      <c r="H10" s="135" t="s">
        <v>0</v>
      </c>
    </row>
    <row r="11" spans="1:8" ht="15">
      <c r="B11" s="128" t="s">
        <v>578</v>
      </c>
      <c r="C11" s="14" t="s">
        <v>579</v>
      </c>
      <c r="D11" s="123"/>
      <c r="E11" s="123"/>
      <c r="F11" s="136"/>
      <c r="G11" s="137"/>
      <c r="H11" s="15"/>
    </row>
    <row r="12" spans="1:8" s="16" customFormat="1" ht="15">
      <c r="B12" s="129"/>
      <c r="C12" s="17" t="s">
        <v>28</v>
      </c>
      <c r="D12" s="124"/>
      <c r="E12" s="124"/>
      <c r="F12" s="117"/>
      <c r="G12" s="118"/>
      <c r="H12" s="18">
        <v>192482.5</v>
      </c>
    </row>
    <row r="13" spans="1:8">
      <c r="B13" s="19">
        <v>45778</v>
      </c>
      <c r="C13" s="20" t="s">
        <v>73</v>
      </c>
      <c r="D13" s="125" t="s">
        <v>506</v>
      </c>
      <c r="E13" s="125"/>
      <c r="F13" s="21"/>
      <c r="G13" s="119">
        <v>-40.75</v>
      </c>
      <c r="H13" s="21">
        <f>+H12+F13+G13</f>
        <v>192441.75</v>
      </c>
    </row>
    <row r="14" spans="1:8">
      <c r="B14" s="19">
        <v>45778</v>
      </c>
      <c r="C14" s="20" t="s">
        <v>74</v>
      </c>
      <c r="D14" s="125" t="s">
        <v>526</v>
      </c>
      <c r="E14" s="125"/>
      <c r="F14" s="21"/>
      <c r="G14" s="119">
        <v>-0.5</v>
      </c>
      <c r="H14" s="21">
        <f t="shared" ref="H14:H77" si="0">+H13+F14+G14</f>
        <v>192441.25</v>
      </c>
    </row>
    <row r="15" spans="1:8">
      <c r="B15" s="19">
        <v>45779</v>
      </c>
      <c r="C15" s="20" t="s">
        <v>75</v>
      </c>
      <c r="D15" s="125" t="s">
        <v>288</v>
      </c>
      <c r="E15" s="125"/>
      <c r="F15" s="21"/>
      <c r="G15" s="119">
        <v>-7.34</v>
      </c>
      <c r="H15" s="21">
        <f t="shared" si="0"/>
        <v>192433.91</v>
      </c>
    </row>
    <row r="16" spans="1:8">
      <c r="B16" s="19">
        <v>45782</v>
      </c>
      <c r="C16" s="20" t="s">
        <v>77</v>
      </c>
      <c r="D16" s="125" t="s">
        <v>324</v>
      </c>
      <c r="E16" s="125"/>
      <c r="F16" s="21"/>
      <c r="G16" s="119">
        <v>-20.97</v>
      </c>
      <c r="H16" s="21">
        <f t="shared" si="0"/>
        <v>192412.94</v>
      </c>
    </row>
    <row r="17" spans="2:8">
      <c r="B17" s="19">
        <v>45782</v>
      </c>
      <c r="C17" s="20" t="s">
        <v>75</v>
      </c>
      <c r="D17" s="125" t="s">
        <v>302</v>
      </c>
      <c r="E17" s="125"/>
      <c r="F17" s="21"/>
      <c r="G17" s="119">
        <v>-15.1</v>
      </c>
      <c r="H17" s="21">
        <f t="shared" si="0"/>
        <v>192397.84</v>
      </c>
    </row>
    <row r="18" spans="2:8">
      <c r="B18" s="19">
        <v>45782</v>
      </c>
      <c r="C18" s="20" t="s">
        <v>75</v>
      </c>
      <c r="D18" s="125" t="s">
        <v>300</v>
      </c>
      <c r="E18" s="125"/>
      <c r="F18" s="21"/>
      <c r="G18" s="119">
        <v>-7.55</v>
      </c>
      <c r="H18" s="21">
        <f t="shared" si="0"/>
        <v>192390.29</v>
      </c>
    </row>
    <row r="19" spans="2:8">
      <c r="B19" s="19">
        <v>45782</v>
      </c>
      <c r="C19" s="20" t="s">
        <v>104</v>
      </c>
      <c r="D19" s="125" t="s">
        <v>150</v>
      </c>
      <c r="E19" s="125">
        <v>10914</v>
      </c>
      <c r="F19" s="21">
        <v>914.66</v>
      </c>
      <c r="G19" s="119"/>
      <c r="H19" s="21">
        <f t="shared" si="0"/>
        <v>193304.95</v>
      </c>
    </row>
    <row r="20" spans="2:8">
      <c r="B20" s="19">
        <v>45782</v>
      </c>
      <c r="C20" s="20" t="s">
        <v>66</v>
      </c>
      <c r="D20" s="125" t="s">
        <v>149</v>
      </c>
      <c r="E20" s="125">
        <v>10915</v>
      </c>
      <c r="F20" s="21">
        <v>1059.03</v>
      </c>
      <c r="G20" s="119"/>
      <c r="H20" s="21">
        <f t="shared" si="0"/>
        <v>194363.98</v>
      </c>
    </row>
    <row r="21" spans="2:8">
      <c r="B21" s="19">
        <v>45782</v>
      </c>
      <c r="C21" s="20" t="s">
        <v>66</v>
      </c>
      <c r="D21" s="125" t="s">
        <v>163</v>
      </c>
      <c r="E21" s="125">
        <v>10913</v>
      </c>
      <c r="F21" s="21">
        <v>1136.03</v>
      </c>
      <c r="G21" s="119"/>
      <c r="H21" s="21">
        <f t="shared" si="0"/>
        <v>195500.01</v>
      </c>
    </row>
    <row r="22" spans="2:8">
      <c r="B22" s="19">
        <v>45782</v>
      </c>
      <c r="C22" s="20" t="s">
        <v>103</v>
      </c>
      <c r="D22" s="125" t="s">
        <v>147</v>
      </c>
      <c r="E22" s="125">
        <v>10921</v>
      </c>
      <c r="F22" s="21">
        <v>1406.95</v>
      </c>
      <c r="G22" s="119"/>
      <c r="H22" s="21">
        <f t="shared" si="0"/>
        <v>196906.96000000002</v>
      </c>
    </row>
    <row r="23" spans="2:8">
      <c r="B23" s="19">
        <v>45783</v>
      </c>
      <c r="C23" s="20" t="s">
        <v>73</v>
      </c>
      <c r="D23" s="125" t="s">
        <v>504</v>
      </c>
      <c r="E23" s="125"/>
      <c r="F23" s="21"/>
      <c r="G23" s="119">
        <v>-43.3</v>
      </c>
      <c r="H23" s="21">
        <f t="shared" si="0"/>
        <v>196863.66000000003</v>
      </c>
    </row>
    <row r="24" spans="2:8">
      <c r="B24" s="19">
        <v>45783</v>
      </c>
      <c r="C24" s="20" t="s">
        <v>73</v>
      </c>
      <c r="D24" s="125" t="s">
        <v>508</v>
      </c>
      <c r="E24" s="125"/>
      <c r="F24" s="21"/>
      <c r="G24" s="119">
        <v>-40.28</v>
      </c>
      <c r="H24" s="21">
        <f t="shared" si="0"/>
        <v>196823.38000000003</v>
      </c>
    </row>
    <row r="25" spans="2:8">
      <c r="B25" s="19">
        <v>45783</v>
      </c>
      <c r="C25" s="20" t="s">
        <v>75</v>
      </c>
      <c r="D25" s="125" t="s">
        <v>418</v>
      </c>
      <c r="E25" s="125"/>
      <c r="F25" s="21"/>
      <c r="G25" s="119">
        <v>-9.75</v>
      </c>
      <c r="H25" s="21">
        <f t="shared" si="0"/>
        <v>196813.63000000003</v>
      </c>
    </row>
    <row r="26" spans="2:8">
      <c r="B26" s="19">
        <v>45784</v>
      </c>
      <c r="C26" s="20" t="s">
        <v>75</v>
      </c>
      <c r="D26" s="125" t="s">
        <v>303</v>
      </c>
      <c r="E26" s="125"/>
      <c r="F26" s="21"/>
      <c r="G26" s="119">
        <v>-15.1</v>
      </c>
      <c r="H26" s="21">
        <f t="shared" si="0"/>
        <v>196798.53000000003</v>
      </c>
    </row>
    <row r="27" spans="2:8">
      <c r="B27" s="19">
        <v>45784</v>
      </c>
      <c r="C27" s="20" t="s">
        <v>142</v>
      </c>
      <c r="D27" s="125" t="s">
        <v>125</v>
      </c>
      <c r="E27" s="125">
        <v>10925</v>
      </c>
      <c r="F27" s="21">
        <v>456.09</v>
      </c>
      <c r="G27" s="119"/>
      <c r="H27" s="21">
        <f t="shared" si="0"/>
        <v>197254.62000000002</v>
      </c>
    </row>
    <row r="28" spans="2:8">
      <c r="B28" s="19">
        <v>45784</v>
      </c>
      <c r="C28" s="20" t="s">
        <v>66</v>
      </c>
      <c r="D28" s="125" t="s">
        <v>165</v>
      </c>
      <c r="E28" s="125">
        <v>10926</v>
      </c>
      <c r="F28" s="21">
        <v>460.45</v>
      </c>
      <c r="G28" s="119"/>
      <c r="H28" s="21">
        <f t="shared" si="0"/>
        <v>197715.07000000004</v>
      </c>
    </row>
    <row r="29" spans="2:8">
      <c r="B29" s="19">
        <v>45784</v>
      </c>
      <c r="C29" s="20" t="s">
        <v>66</v>
      </c>
      <c r="D29" s="125" t="s">
        <v>164</v>
      </c>
      <c r="E29" s="125">
        <v>10926</v>
      </c>
      <c r="F29" s="21">
        <v>460.45</v>
      </c>
      <c r="G29" s="119"/>
      <c r="H29" s="21">
        <f t="shared" si="0"/>
        <v>198175.52000000005</v>
      </c>
    </row>
    <row r="30" spans="2:8">
      <c r="B30" s="19">
        <v>45784</v>
      </c>
      <c r="C30" s="20" t="s">
        <v>66</v>
      </c>
      <c r="D30" s="125" t="s">
        <v>166</v>
      </c>
      <c r="E30" s="125">
        <v>10926</v>
      </c>
      <c r="F30" s="21">
        <v>460.45</v>
      </c>
      <c r="G30" s="119"/>
      <c r="H30" s="21">
        <f t="shared" si="0"/>
        <v>198635.97000000006</v>
      </c>
    </row>
    <row r="31" spans="2:8">
      <c r="B31" s="19">
        <v>45784</v>
      </c>
      <c r="C31" s="20" t="s">
        <v>151</v>
      </c>
      <c r="D31" s="125" t="s">
        <v>130</v>
      </c>
      <c r="E31" s="125">
        <v>10925</v>
      </c>
      <c r="F31" s="21">
        <v>460.45</v>
      </c>
      <c r="G31" s="119"/>
      <c r="H31" s="21">
        <f t="shared" si="0"/>
        <v>199096.42000000007</v>
      </c>
    </row>
    <row r="32" spans="2:8">
      <c r="B32" s="19">
        <v>45784</v>
      </c>
      <c r="C32" s="20" t="s">
        <v>60</v>
      </c>
      <c r="D32" s="125" t="s">
        <v>152</v>
      </c>
      <c r="E32" s="125">
        <v>10925</v>
      </c>
      <c r="F32" s="21">
        <v>460.45</v>
      </c>
      <c r="G32" s="119"/>
      <c r="H32" s="21">
        <f t="shared" si="0"/>
        <v>199556.87000000008</v>
      </c>
    </row>
    <row r="33" spans="2:8">
      <c r="B33" s="19">
        <v>45784</v>
      </c>
      <c r="C33" s="20" t="s">
        <v>202</v>
      </c>
      <c r="D33" s="125" t="s">
        <v>288</v>
      </c>
      <c r="E33" s="125">
        <v>10926</v>
      </c>
      <c r="F33" s="21">
        <v>489.2</v>
      </c>
      <c r="G33" s="119"/>
      <c r="H33" s="21">
        <f t="shared" si="0"/>
        <v>200046.07000000009</v>
      </c>
    </row>
    <row r="34" spans="2:8">
      <c r="B34" s="19">
        <v>45784</v>
      </c>
      <c r="C34" s="20" t="s">
        <v>104</v>
      </c>
      <c r="D34" s="125" t="s">
        <v>184</v>
      </c>
      <c r="E34" s="125">
        <v>10922</v>
      </c>
      <c r="F34" s="21">
        <v>637.28</v>
      </c>
      <c r="G34" s="119"/>
      <c r="H34" s="21">
        <f t="shared" si="0"/>
        <v>200683.35000000009</v>
      </c>
    </row>
    <row r="35" spans="2:8">
      <c r="B35" s="19">
        <v>45784</v>
      </c>
      <c r="C35" s="20" t="s">
        <v>186</v>
      </c>
      <c r="D35" s="125" t="s">
        <v>185</v>
      </c>
      <c r="E35" s="125">
        <v>10931</v>
      </c>
      <c r="F35" s="21">
        <v>730</v>
      </c>
      <c r="G35" s="119"/>
      <c r="H35" s="21">
        <f t="shared" si="0"/>
        <v>201413.35000000009</v>
      </c>
    </row>
    <row r="36" spans="2:8">
      <c r="B36" s="19">
        <v>45784</v>
      </c>
      <c r="C36" s="20" t="s">
        <v>66</v>
      </c>
      <c r="D36" s="125" t="s">
        <v>148</v>
      </c>
      <c r="E36" s="125">
        <v>10925</v>
      </c>
      <c r="F36" s="21">
        <v>920.2</v>
      </c>
      <c r="G36" s="119"/>
      <c r="H36" s="21">
        <f t="shared" si="0"/>
        <v>202333.5500000001</v>
      </c>
    </row>
    <row r="37" spans="2:8">
      <c r="B37" s="19">
        <v>45784</v>
      </c>
      <c r="C37" s="20" t="s">
        <v>171</v>
      </c>
      <c r="D37" s="125" t="s">
        <v>170</v>
      </c>
      <c r="E37" s="125">
        <v>10925</v>
      </c>
      <c r="F37" s="21">
        <v>920.2</v>
      </c>
      <c r="G37" s="119"/>
      <c r="H37" s="21">
        <f t="shared" si="0"/>
        <v>203253.75000000012</v>
      </c>
    </row>
    <row r="38" spans="2:8">
      <c r="B38" s="19">
        <v>45784</v>
      </c>
      <c r="C38" s="20" t="s">
        <v>66</v>
      </c>
      <c r="D38" s="125" t="s">
        <v>168</v>
      </c>
      <c r="E38" s="125">
        <v>10925</v>
      </c>
      <c r="F38" s="21">
        <v>920.9</v>
      </c>
      <c r="G38" s="119"/>
      <c r="H38" s="21">
        <f t="shared" si="0"/>
        <v>204174.65000000011</v>
      </c>
    </row>
    <row r="39" spans="2:8">
      <c r="B39" s="19">
        <v>45784</v>
      </c>
      <c r="C39" s="20" t="s">
        <v>66</v>
      </c>
      <c r="D39" s="125" t="s">
        <v>167</v>
      </c>
      <c r="E39" s="125">
        <v>10925</v>
      </c>
      <c r="F39" s="21">
        <v>920.9</v>
      </c>
      <c r="G39" s="119"/>
      <c r="H39" s="21">
        <f t="shared" si="0"/>
        <v>205095.5500000001</v>
      </c>
    </row>
    <row r="40" spans="2:8">
      <c r="B40" s="19">
        <v>45784</v>
      </c>
      <c r="C40" s="20" t="s">
        <v>66</v>
      </c>
      <c r="D40" s="125" t="s">
        <v>169</v>
      </c>
      <c r="E40" s="125">
        <v>10926</v>
      </c>
      <c r="F40" s="21">
        <v>920.9</v>
      </c>
      <c r="G40" s="119"/>
      <c r="H40" s="21">
        <f t="shared" si="0"/>
        <v>206016.4500000001</v>
      </c>
    </row>
    <row r="41" spans="2:8">
      <c r="B41" s="19">
        <v>45784</v>
      </c>
      <c r="C41" s="20" t="s">
        <v>88</v>
      </c>
      <c r="D41" s="125" t="s">
        <v>153</v>
      </c>
      <c r="E41" s="125">
        <v>10925</v>
      </c>
      <c r="F41" s="21">
        <v>920.9</v>
      </c>
      <c r="G41" s="119"/>
      <c r="H41" s="21">
        <f t="shared" si="0"/>
        <v>206937.35000000009</v>
      </c>
    </row>
    <row r="42" spans="2:8">
      <c r="B42" s="19">
        <v>45784</v>
      </c>
      <c r="C42" s="20" t="s">
        <v>88</v>
      </c>
      <c r="D42" s="125" t="s">
        <v>160</v>
      </c>
      <c r="E42" s="125">
        <v>10925</v>
      </c>
      <c r="F42" s="21">
        <v>920.9</v>
      </c>
      <c r="G42" s="119"/>
      <c r="H42" s="21">
        <f t="shared" si="0"/>
        <v>207858.25000000009</v>
      </c>
    </row>
    <row r="43" spans="2:8">
      <c r="B43" s="19">
        <v>45784</v>
      </c>
      <c r="C43" s="20" t="s">
        <v>173</v>
      </c>
      <c r="D43" s="125" t="s">
        <v>172</v>
      </c>
      <c r="E43" s="125">
        <v>10926</v>
      </c>
      <c r="F43" s="21">
        <v>920.9</v>
      </c>
      <c r="G43" s="119"/>
      <c r="H43" s="21">
        <f t="shared" si="0"/>
        <v>208779.15000000008</v>
      </c>
    </row>
    <row r="44" spans="2:8">
      <c r="B44" s="19">
        <v>45784</v>
      </c>
      <c r="C44" s="20" t="s">
        <v>115</v>
      </c>
      <c r="D44" s="125" t="s">
        <v>174</v>
      </c>
      <c r="E44" s="125">
        <v>10926</v>
      </c>
      <c r="F44" s="21">
        <v>921</v>
      </c>
      <c r="G44" s="119"/>
      <c r="H44" s="21">
        <f t="shared" si="0"/>
        <v>209700.15000000008</v>
      </c>
    </row>
    <row r="45" spans="2:8" ht="15.75" customHeight="1">
      <c r="B45" s="19">
        <v>45784</v>
      </c>
      <c r="C45" s="20" t="s">
        <v>66</v>
      </c>
      <c r="D45" s="125" t="s">
        <v>458</v>
      </c>
      <c r="E45" s="125">
        <v>10926</v>
      </c>
      <c r="F45" s="21">
        <v>978.4</v>
      </c>
      <c r="G45" s="119"/>
      <c r="H45" s="21">
        <f t="shared" si="0"/>
        <v>210678.55000000008</v>
      </c>
    </row>
    <row r="46" spans="2:8">
      <c r="B46" s="19">
        <v>45784</v>
      </c>
      <c r="C46" s="20" t="s">
        <v>66</v>
      </c>
      <c r="D46" s="125" t="s">
        <v>459</v>
      </c>
      <c r="E46" s="125">
        <v>10926</v>
      </c>
      <c r="F46" s="21">
        <v>978.4</v>
      </c>
      <c r="G46" s="119"/>
      <c r="H46" s="21">
        <f t="shared" si="0"/>
        <v>211656.95000000007</v>
      </c>
    </row>
    <row r="47" spans="2:8">
      <c r="B47" s="19">
        <v>45784</v>
      </c>
      <c r="C47" s="20" t="s">
        <v>66</v>
      </c>
      <c r="D47" s="125" t="s">
        <v>182</v>
      </c>
      <c r="E47" s="125">
        <v>10926</v>
      </c>
      <c r="F47" s="21">
        <v>978.4</v>
      </c>
      <c r="G47" s="119"/>
      <c r="H47" s="21">
        <f t="shared" si="0"/>
        <v>212635.35000000006</v>
      </c>
    </row>
    <row r="48" spans="2:8">
      <c r="B48" s="19">
        <v>45784</v>
      </c>
      <c r="C48" s="20" t="s">
        <v>62</v>
      </c>
      <c r="D48" s="125" t="s">
        <v>180</v>
      </c>
      <c r="E48" s="125">
        <v>10926</v>
      </c>
      <c r="F48" s="21">
        <v>1174.08</v>
      </c>
      <c r="G48" s="119"/>
      <c r="H48" s="21">
        <f t="shared" si="0"/>
        <v>213809.43000000005</v>
      </c>
    </row>
    <row r="49" spans="2:8">
      <c r="B49" s="19">
        <v>45784</v>
      </c>
      <c r="C49" s="20" t="s">
        <v>107</v>
      </c>
      <c r="D49" s="125" t="s">
        <v>187</v>
      </c>
      <c r="E49" s="125">
        <v>10934</v>
      </c>
      <c r="F49" s="21">
        <v>1633.66</v>
      </c>
      <c r="G49" s="119"/>
      <c r="H49" s="21">
        <f t="shared" si="0"/>
        <v>215443.09000000005</v>
      </c>
    </row>
    <row r="50" spans="2:8">
      <c r="B50" s="19">
        <v>45784</v>
      </c>
      <c r="C50" s="20" t="s">
        <v>113</v>
      </c>
      <c r="D50" s="125" t="s">
        <v>289</v>
      </c>
      <c r="E50" s="125">
        <v>10928</v>
      </c>
      <c r="F50" s="21">
        <v>1979.94</v>
      </c>
      <c r="G50" s="119"/>
      <c r="H50" s="21">
        <f t="shared" si="0"/>
        <v>217423.03000000006</v>
      </c>
    </row>
    <row r="51" spans="2:8">
      <c r="B51" s="19">
        <v>45784</v>
      </c>
      <c r="C51" s="20" t="s">
        <v>92</v>
      </c>
      <c r="D51" s="125" t="s">
        <v>135</v>
      </c>
      <c r="E51" s="125">
        <v>10933</v>
      </c>
      <c r="F51" s="21">
        <v>1979.94</v>
      </c>
      <c r="G51" s="119"/>
      <c r="H51" s="21">
        <f t="shared" si="0"/>
        <v>219402.97000000006</v>
      </c>
    </row>
    <row r="52" spans="2:8">
      <c r="B52" s="19">
        <v>45784</v>
      </c>
      <c r="C52" s="20" t="s">
        <v>188</v>
      </c>
      <c r="D52" s="125" t="s">
        <v>134</v>
      </c>
      <c r="E52" s="125">
        <v>10937</v>
      </c>
      <c r="F52" s="21">
        <v>2040</v>
      </c>
      <c r="G52" s="119"/>
      <c r="H52" s="21">
        <f t="shared" si="0"/>
        <v>221442.97000000006</v>
      </c>
    </row>
    <row r="53" spans="2:8" ht="15.75" customHeight="1">
      <c r="B53" s="19">
        <v>45784</v>
      </c>
      <c r="C53" s="20" t="s">
        <v>66</v>
      </c>
      <c r="D53" s="125" t="s">
        <v>460</v>
      </c>
      <c r="E53" s="125">
        <v>10932</v>
      </c>
      <c r="F53" s="21">
        <v>2103.56</v>
      </c>
      <c r="G53" s="119"/>
      <c r="H53" s="21">
        <f t="shared" si="0"/>
        <v>223546.53000000006</v>
      </c>
    </row>
    <row r="54" spans="2:8">
      <c r="B54" s="19">
        <v>45784</v>
      </c>
      <c r="C54" s="20" t="s">
        <v>72</v>
      </c>
      <c r="D54" s="125" t="s">
        <v>189</v>
      </c>
      <c r="E54" s="125">
        <v>10935</v>
      </c>
      <c r="F54" s="21">
        <v>2440.39</v>
      </c>
      <c r="G54" s="119"/>
      <c r="H54" s="21">
        <f t="shared" si="0"/>
        <v>225986.92000000007</v>
      </c>
    </row>
    <row r="55" spans="2:8">
      <c r="B55" s="19">
        <v>45784</v>
      </c>
      <c r="C55" s="20" t="s">
        <v>93</v>
      </c>
      <c r="D55" s="125" t="s">
        <v>190</v>
      </c>
      <c r="E55" s="125">
        <v>10930</v>
      </c>
      <c r="F55" s="21">
        <v>2592.7600000000002</v>
      </c>
      <c r="G55" s="119"/>
      <c r="H55" s="21">
        <f t="shared" si="0"/>
        <v>228579.68000000008</v>
      </c>
    </row>
    <row r="56" spans="2:8">
      <c r="B56" s="19">
        <v>45784</v>
      </c>
      <c r="C56" s="20" t="s">
        <v>191</v>
      </c>
      <c r="D56" s="125" t="s">
        <v>133</v>
      </c>
      <c r="E56" s="125">
        <v>10936</v>
      </c>
      <c r="F56" s="21">
        <v>3481.37</v>
      </c>
      <c r="G56" s="119"/>
      <c r="H56" s="21">
        <f t="shared" si="0"/>
        <v>232061.05000000008</v>
      </c>
    </row>
    <row r="57" spans="2:8">
      <c r="B57" s="19">
        <v>45784</v>
      </c>
      <c r="C57" s="20" t="s">
        <v>154</v>
      </c>
      <c r="D57" s="125" t="s">
        <v>127</v>
      </c>
      <c r="E57" s="125">
        <v>10925</v>
      </c>
      <c r="F57" s="21">
        <v>3683.6</v>
      </c>
      <c r="G57" s="119"/>
      <c r="H57" s="21">
        <f t="shared" si="0"/>
        <v>235744.65000000008</v>
      </c>
    </row>
    <row r="58" spans="2:8">
      <c r="B58" s="19">
        <v>45784</v>
      </c>
      <c r="C58" s="20" t="s">
        <v>146</v>
      </c>
      <c r="D58" s="125" t="s">
        <v>126</v>
      </c>
      <c r="E58" s="125">
        <v>10925</v>
      </c>
      <c r="F58" s="21">
        <v>3683.6</v>
      </c>
      <c r="G58" s="119"/>
      <c r="H58" s="21">
        <f t="shared" si="0"/>
        <v>239428.25000000009</v>
      </c>
    </row>
    <row r="59" spans="2:8">
      <c r="B59" s="19">
        <v>45784</v>
      </c>
      <c r="C59" s="20" t="s">
        <v>203</v>
      </c>
      <c r="D59" s="125" t="s">
        <v>290</v>
      </c>
      <c r="E59" s="125">
        <v>10929</v>
      </c>
      <c r="F59" s="21">
        <v>6163.84</v>
      </c>
      <c r="G59" s="119"/>
      <c r="H59" s="21">
        <f t="shared" si="0"/>
        <v>245592.09000000008</v>
      </c>
    </row>
    <row r="60" spans="2:8">
      <c r="B60" s="19">
        <v>45785</v>
      </c>
      <c r="C60" s="20" t="s">
        <v>77</v>
      </c>
      <c r="D60" s="125" t="s">
        <v>329</v>
      </c>
      <c r="E60" s="125"/>
      <c r="F60" s="21"/>
      <c r="G60" s="119">
        <v>-22.05</v>
      </c>
      <c r="H60" s="21">
        <f t="shared" si="0"/>
        <v>245570.0400000001</v>
      </c>
    </row>
    <row r="61" spans="2:8">
      <c r="B61" s="19">
        <v>45785</v>
      </c>
      <c r="C61" s="20" t="s">
        <v>75</v>
      </c>
      <c r="D61" s="125" t="s">
        <v>328</v>
      </c>
      <c r="E61" s="125"/>
      <c r="F61" s="21"/>
      <c r="G61" s="119">
        <v>-1.95</v>
      </c>
      <c r="H61" s="21">
        <f t="shared" si="0"/>
        <v>245568.09000000008</v>
      </c>
    </row>
    <row r="62" spans="2:8">
      <c r="B62" s="19">
        <v>45786</v>
      </c>
      <c r="C62" s="20" t="s">
        <v>265</v>
      </c>
      <c r="D62" s="125" t="s">
        <v>490</v>
      </c>
      <c r="E62" s="125"/>
      <c r="F62" s="21"/>
      <c r="G62" s="119">
        <v>-473000</v>
      </c>
      <c r="H62" s="21">
        <f t="shared" si="0"/>
        <v>-227431.90999999992</v>
      </c>
    </row>
    <row r="63" spans="2:8">
      <c r="B63" s="19">
        <v>45786</v>
      </c>
      <c r="C63" s="20" t="s">
        <v>76</v>
      </c>
      <c r="D63" s="125" t="s">
        <v>490</v>
      </c>
      <c r="E63" s="125"/>
      <c r="F63" s="21"/>
      <c r="G63" s="119">
        <v>-1182.5</v>
      </c>
      <c r="H63" s="21">
        <f t="shared" si="0"/>
        <v>-228614.40999999992</v>
      </c>
    </row>
    <row r="64" spans="2:8">
      <c r="B64" s="19">
        <v>45786</v>
      </c>
      <c r="C64" s="20" t="s">
        <v>75</v>
      </c>
      <c r="D64" s="125" t="s">
        <v>347</v>
      </c>
      <c r="E64" s="125"/>
      <c r="F64" s="21"/>
      <c r="G64" s="119">
        <v>-23.36</v>
      </c>
      <c r="H64" s="21">
        <f t="shared" si="0"/>
        <v>-228637.7699999999</v>
      </c>
    </row>
    <row r="65" spans="2:8">
      <c r="B65" s="19">
        <v>45786</v>
      </c>
      <c r="C65" s="20" t="s">
        <v>75</v>
      </c>
      <c r="D65" s="125" t="s">
        <v>349</v>
      </c>
      <c r="E65" s="125"/>
      <c r="F65" s="21"/>
      <c r="G65" s="119">
        <v>-15.85</v>
      </c>
      <c r="H65" s="21">
        <f t="shared" si="0"/>
        <v>-228653.61999999991</v>
      </c>
    </row>
    <row r="66" spans="2:8">
      <c r="B66" s="19">
        <v>45786</v>
      </c>
      <c r="C66" s="20" t="s">
        <v>87</v>
      </c>
      <c r="D66" s="125" t="s">
        <v>175</v>
      </c>
      <c r="E66" s="125">
        <v>10940</v>
      </c>
      <c r="F66" s="21">
        <v>375.03</v>
      </c>
      <c r="G66" s="119"/>
      <c r="H66" s="21">
        <f t="shared" si="0"/>
        <v>-228278.58999999991</v>
      </c>
    </row>
    <row r="67" spans="2:8">
      <c r="B67" s="19">
        <v>45786</v>
      </c>
      <c r="C67" s="20" t="s">
        <v>117</v>
      </c>
      <c r="D67" s="125" t="s">
        <v>192</v>
      </c>
      <c r="E67" s="125">
        <v>10942</v>
      </c>
      <c r="F67" s="21">
        <v>710</v>
      </c>
      <c r="G67" s="119"/>
      <c r="H67" s="21">
        <f t="shared" si="0"/>
        <v>-227568.58999999991</v>
      </c>
    </row>
    <row r="68" spans="2:8">
      <c r="B68" s="19">
        <v>45786</v>
      </c>
      <c r="C68" s="20" t="s">
        <v>193</v>
      </c>
      <c r="D68" s="125" t="s">
        <v>136</v>
      </c>
      <c r="E68" s="125">
        <v>10949</v>
      </c>
      <c r="F68" s="21">
        <v>812.67</v>
      </c>
      <c r="G68" s="119"/>
      <c r="H68" s="21">
        <f t="shared" si="0"/>
        <v>-226755.9199999999</v>
      </c>
    </row>
    <row r="69" spans="2:8">
      <c r="B69" s="19">
        <v>45786</v>
      </c>
      <c r="C69" s="20" t="s">
        <v>3</v>
      </c>
      <c r="D69" s="125" t="s">
        <v>155</v>
      </c>
      <c r="E69" s="125">
        <v>10953</v>
      </c>
      <c r="F69" s="21">
        <v>914.66</v>
      </c>
      <c r="G69" s="119"/>
      <c r="H69" s="21">
        <f t="shared" si="0"/>
        <v>-225841.25999999989</v>
      </c>
    </row>
    <row r="70" spans="2:8">
      <c r="B70" s="19">
        <v>45786</v>
      </c>
      <c r="C70" s="20" t="s">
        <v>66</v>
      </c>
      <c r="D70" s="125" t="s">
        <v>183</v>
      </c>
      <c r="E70" s="125">
        <v>10948</v>
      </c>
      <c r="F70" s="21">
        <v>1059.03</v>
      </c>
      <c r="G70" s="119"/>
      <c r="H70" s="21">
        <f t="shared" si="0"/>
        <v>-224782.22999999989</v>
      </c>
    </row>
    <row r="71" spans="2:8">
      <c r="B71" s="19">
        <v>45786</v>
      </c>
      <c r="C71" s="20" t="s">
        <v>66</v>
      </c>
      <c r="D71" s="125" t="s">
        <v>291</v>
      </c>
      <c r="E71" s="125">
        <v>10947</v>
      </c>
      <c r="F71" s="21">
        <v>1157.93</v>
      </c>
      <c r="G71" s="119"/>
      <c r="H71" s="21">
        <f t="shared" si="0"/>
        <v>-223624.2999999999</v>
      </c>
    </row>
    <row r="72" spans="2:8">
      <c r="B72" s="19">
        <v>45786</v>
      </c>
      <c r="C72" s="20" t="s">
        <v>117</v>
      </c>
      <c r="D72" s="125" t="s">
        <v>143</v>
      </c>
      <c r="E72" s="125">
        <v>10942</v>
      </c>
      <c r="F72" s="21">
        <v>1546.74</v>
      </c>
      <c r="G72" s="119"/>
      <c r="H72" s="21">
        <f t="shared" si="0"/>
        <v>-222077.55999999991</v>
      </c>
    </row>
    <row r="73" spans="2:8">
      <c r="B73" s="19">
        <v>45786</v>
      </c>
      <c r="C73" s="20" t="s">
        <v>118</v>
      </c>
      <c r="D73" s="125" t="s">
        <v>194</v>
      </c>
      <c r="E73" s="125">
        <v>10945</v>
      </c>
      <c r="F73" s="21">
        <v>1795.76</v>
      </c>
      <c r="G73" s="119"/>
      <c r="H73" s="21">
        <f t="shared" si="0"/>
        <v>-220281.7999999999</v>
      </c>
    </row>
    <row r="74" spans="2:8">
      <c r="B74" s="19">
        <v>45786</v>
      </c>
      <c r="C74" s="20" t="s">
        <v>87</v>
      </c>
      <c r="D74" s="125" t="s">
        <v>161</v>
      </c>
      <c r="E74" s="125">
        <v>10940</v>
      </c>
      <c r="F74" s="21">
        <v>1881.18</v>
      </c>
      <c r="G74" s="119"/>
      <c r="H74" s="21">
        <f t="shared" si="0"/>
        <v>-218400.61999999991</v>
      </c>
    </row>
    <row r="75" spans="2:8">
      <c r="B75" s="19">
        <v>45786</v>
      </c>
      <c r="C75" s="20" t="s">
        <v>79</v>
      </c>
      <c r="D75" s="125" t="s">
        <v>195</v>
      </c>
      <c r="E75" s="125">
        <v>10944</v>
      </c>
      <c r="F75" s="21">
        <v>1907.88</v>
      </c>
      <c r="G75" s="119"/>
      <c r="H75" s="21">
        <f t="shared" si="0"/>
        <v>-216492.7399999999</v>
      </c>
    </row>
    <row r="76" spans="2:8">
      <c r="B76" s="19">
        <v>45786</v>
      </c>
      <c r="C76" s="20" t="s">
        <v>119</v>
      </c>
      <c r="D76" s="125" t="s">
        <v>128</v>
      </c>
      <c r="E76" s="125">
        <v>10939</v>
      </c>
      <c r="F76" s="21">
        <v>2256.21</v>
      </c>
      <c r="G76" s="119"/>
      <c r="H76" s="21">
        <f t="shared" si="0"/>
        <v>-214236.52999999991</v>
      </c>
    </row>
    <row r="77" spans="2:8">
      <c r="B77" s="19">
        <v>45786</v>
      </c>
      <c r="C77" s="20" t="s">
        <v>122</v>
      </c>
      <c r="D77" s="125" t="s">
        <v>176</v>
      </c>
      <c r="E77" s="125">
        <v>10941</v>
      </c>
      <c r="F77" s="21">
        <v>2256.21</v>
      </c>
      <c r="G77" s="119"/>
      <c r="H77" s="21">
        <f t="shared" si="0"/>
        <v>-211980.31999999992</v>
      </c>
    </row>
    <row r="78" spans="2:8">
      <c r="B78" s="19">
        <v>45786</v>
      </c>
      <c r="C78" s="20" t="s">
        <v>97</v>
      </c>
      <c r="D78" s="125" t="s">
        <v>156</v>
      </c>
      <c r="E78" s="125">
        <v>10938</v>
      </c>
      <c r="F78" s="21">
        <v>2256.21</v>
      </c>
      <c r="G78" s="119"/>
      <c r="H78" s="21">
        <f t="shared" ref="H78:H141" si="1">+H77+F78+G78</f>
        <v>-209724.10999999993</v>
      </c>
    </row>
    <row r="79" spans="2:8">
      <c r="B79" s="19">
        <v>45786</v>
      </c>
      <c r="C79" s="20" t="s">
        <v>101</v>
      </c>
      <c r="D79" s="125" t="s">
        <v>181</v>
      </c>
      <c r="E79" s="125">
        <v>10943</v>
      </c>
      <c r="F79" s="21">
        <v>2440.39</v>
      </c>
      <c r="G79" s="119"/>
      <c r="H79" s="21">
        <f t="shared" si="1"/>
        <v>-207283.71999999991</v>
      </c>
    </row>
    <row r="80" spans="2:8" ht="15" customHeight="1">
      <c r="B80" s="19">
        <v>45786</v>
      </c>
      <c r="C80" s="20" t="s">
        <v>123</v>
      </c>
      <c r="D80" s="125" t="s">
        <v>179</v>
      </c>
      <c r="E80" s="125">
        <v>10946</v>
      </c>
      <c r="F80" s="21">
        <v>5363.61</v>
      </c>
      <c r="G80" s="119"/>
      <c r="H80" s="21">
        <f t="shared" si="1"/>
        <v>-201920.10999999993</v>
      </c>
    </row>
    <row r="81" spans="2:8">
      <c r="B81" s="19">
        <v>45786</v>
      </c>
      <c r="C81" s="20" t="s">
        <v>177</v>
      </c>
      <c r="D81" s="125" t="s">
        <v>131</v>
      </c>
      <c r="E81" s="125">
        <v>10952</v>
      </c>
      <c r="F81" s="21">
        <v>12107.03</v>
      </c>
      <c r="G81" s="119"/>
      <c r="H81" s="21">
        <f t="shared" si="1"/>
        <v>-189813.07999999993</v>
      </c>
    </row>
    <row r="82" spans="2:8">
      <c r="B82" s="19">
        <v>45787</v>
      </c>
      <c r="C82" s="20" t="s">
        <v>73</v>
      </c>
      <c r="D82" s="125" t="s">
        <v>499</v>
      </c>
      <c r="E82" s="125"/>
      <c r="F82" s="21"/>
      <c r="G82" s="119">
        <v>-109.34</v>
      </c>
      <c r="H82" s="21">
        <f t="shared" si="1"/>
        <v>-189922.41999999993</v>
      </c>
    </row>
    <row r="83" spans="2:8">
      <c r="B83" s="19">
        <v>45787</v>
      </c>
      <c r="C83" s="20" t="s">
        <v>73</v>
      </c>
      <c r="D83" s="125" t="s">
        <v>513</v>
      </c>
      <c r="E83" s="125"/>
      <c r="F83" s="21"/>
      <c r="G83" s="119">
        <v>-30.21</v>
      </c>
      <c r="H83" s="21">
        <f t="shared" si="1"/>
        <v>-189952.62999999992</v>
      </c>
    </row>
    <row r="84" spans="2:8">
      <c r="B84" s="19">
        <v>45788</v>
      </c>
      <c r="C84" s="20" t="s">
        <v>77</v>
      </c>
      <c r="D84" s="125" t="s">
        <v>345</v>
      </c>
      <c r="E84" s="125"/>
      <c r="F84" s="21"/>
      <c r="G84" s="119">
        <v>-13.5</v>
      </c>
      <c r="H84" s="21">
        <f t="shared" si="1"/>
        <v>-189966.12999999992</v>
      </c>
    </row>
    <row r="85" spans="2:8">
      <c r="B85" s="19">
        <v>45789</v>
      </c>
      <c r="C85" s="20" t="s">
        <v>75</v>
      </c>
      <c r="D85" s="125" t="s">
        <v>343</v>
      </c>
      <c r="E85" s="125"/>
      <c r="F85" s="21"/>
      <c r="G85" s="119">
        <v>-41.66</v>
      </c>
      <c r="H85" s="21">
        <f t="shared" si="1"/>
        <v>-190007.78999999992</v>
      </c>
    </row>
    <row r="86" spans="2:8">
      <c r="B86" s="19">
        <v>45789</v>
      </c>
      <c r="C86" s="20" t="s">
        <v>77</v>
      </c>
      <c r="D86" s="125" t="s">
        <v>346</v>
      </c>
      <c r="E86" s="125"/>
      <c r="F86" s="21"/>
      <c r="G86" s="119">
        <v>-11.39</v>
      </c>
      <c r="H86" s="21">
        <f t="shared" si="1"/>
        <v>-190019.17999999993</v>
      </c>
    </row>
    <row r="87" spans="2:8">
      <c r="B87" s="19">
        <v>45789</v>
      </c>
      <c r="C87" s="20" t="s">
        <v>75</v>
      </c>
      <c r="D87" s="125" t="s">
        <v>305</v>
      </c>
      <c r="E87" s="125"/>
      <c r="F87" s="21"/>
      <c r="G87" s="119">
        <v>-7.86</v>
      </c>
      <c r="H87" s="21">
        <f t="shared" si="1"/>
        <v>-190027.03999999992</v>
      </c>
    </row>
    <row r="88" spans="2:8">
      <c r="B88" s="19">
        <v>45789</v>
      </c>
      <c r="C88" s="20" t="s">
        <v>75</v>
      </c>
      <c r="D88" s="125" t="s">
        <v>306</v>
      </c>
      <c r="E88" s="125"/>
      <c r="F88" s="21"/>
      <c r="G88" s="119">
        <v>-7.86</v>
      </c>
      <c r="H88" s="21">
        <f t="shared" si="1"/>
        <v>-190034.89999999991</v>
      </c>
    </row>
    <row r="89" spans="2:8">
      <c r="B89" s="19">
        <v>45789</v>
      </c>
      <c r="C89" s="20" t="s">
        <v>104</v>
      </c>
      <c r="D89" s="125" t="s">
        <v>196</v>
      </c>
      <c r="E89" s="125">
        <v>10956</v>
      </c>
      <c r="F89" s="21">
        <v>588.79999999999995</v>
      </c>
      <c r="G89" s="119"/>
      <c r="H89" s="21">
        <f t="shared" si="1"/>
        <v>-189446.09999999992</v>
      </c>
    </row>
    <row r="90" spans="2:8">
      <c r="B90" s="19">
        <v>45789</v>
      </c>
      <c r="C90" s="20" t="s">
        <v>104</v>
      </c>
      <c r="D90" s="125" t="s">
        <v>197</v>
      </c>
      <c r="E90" s="125">
        <v>10957</v>
      </c>
      <c r="F90" s="21">
        <v>647.85</v>
      </c>
      <c r="G90" s="119"/>
      <c r="H90" s="21">
        <f t="shared" si="1"/>
        <v>-188798.24999999991</v>
      </c>
    </row>
    <row r="91" spans="2:8">
      <c r="B91" s="19">
        <v>45789</v>
      </c>
      <c r="C91" s="20" t="s">
        <v>141</v>
      </c>
      <c r="D91" s="125" t="s">
        <v>140</v>
      </c>
      <c r="E91" s="125">
        <v>10958</v>
      </c>
      <c r="F91" s="21">
        <v>984.82</v>
      </c>
      <c r="G91" s="119"/>
      <c r="H91" s="21">
        <f t="shared" si="1"/>
        <v>-187813.42999999991</v>
      </c>
    </row>
    <row r="92" spans="2:8">
      <c r="B92" s="19">
        <v>45789</v>
      </c>
      <c r="C92" s="20" t="s">
        <v>201</v>
      </c>
      <c r="D92" s="125" t="s">
        <v>287</v>
      </c>
      <c r="E92" s="125">
        <v>10955</v>
      </c>
      <c r="F92" s="21">
        <v>1350.2</v>
      </c>
      <c r="G92" s="119"/>
      <c r="H92" s="21">
        <f t="shared" si="1"/>
        <v>-186463.22999999989</v>
      </c>
    </row>
    <row r="93" spans="2:8">
      <c r="B93" s="19">
        <v>45790</v>
      </c>
      <c r="C93" s="20" t="s">
        <v>73</v>
      </c>
      <c r="D93" s="125" t="s">
        <v>523</v>
      </c>
      <c r="E93" s="125"/>
      <c r="F93" s="21"/>
      <c r="G93" s="119">
        <v>-10.48</v>
      </c>
      <c r="H93" s="21">
        <f t="shared" si="1"/>
        <v>-186473.7099999999</v>
      </c>
    </row>
    <row r="94" spans="2:8">
      <c r="B94" s="19">
        <v>45791</v>
      </c>
      <c r="C94" s="20" t="s">
        <v>137</v>
      </c>
      <c r="D94" s="125" t="s">
        <v>124</v>
      </c>
      <c r="E94" s="125">
        <v>10962</v>
      </c>
      <c r="F94" s="21">
        <v>866.37</v>
      </c>
      <c r="G94" s="119"/>
      <c r="H94" s="21">
        <f t="shared" si="1"/>
        <v>-185607.33999999991</v>
      </c>
    </row>
    <row r="95" spans="2:8">
      <c r="B95" s="19">
        <v>45791</v>
      </c>
      <c r="C95" s="20" t="s">
        <v>66</v>
      </c>
      <c r="D95" s="125" t="s">
        <v>461</v>
      </c>
      <c r="E95" s="125">
        <v>10963</v>
      </c>
      <c r="F95" s="21">
        <v>1059.03</v>
      </c>
      <c r="G95" s="119"/>
      <c r="H95" s="21">
        <f t="shared" si="1"/>
        <v>-184548.30999999991</v>
      </c>
    </row>
    <row r="96" spans="2:8">
      <c r="B96" s="19">
        <v>45791</v>
      </c>
      <c r="C96" s="20" t="s">
        <v>66</v>
      </c>
      <c r="D96" s="125" t="s">
        <v>292</v>
      </c>
      <c r="E96" s="125">
        <v>10960</v>
      </c>
      <c r="F96" s="21">
        <v>4460.1400000000003</v>
      </c>
      <c r="G96" s="119"/>
      <c r="H96" s="21">
        <f t="shared" si="1"/>
        <v>-180088.1699999999</v>
      </c>
    </row>
    <row r="97" spans="2:9">
      <c r="B97" s="19">
        <v>45792</v>
      </c>
      <c r="C97" s="20" t="s">
        <v>77</v>
      </c>
      <c r="D97" s="125" t="s">
        <v>406</v>
      </c>
      <c r="E97" s="125"/>
      <c r="F97" s="21"/>
      <c r="G97" s="119">
        <v>-32.479999999999997</v>
      </c>
      <c r="H97" s="21">
        <f t="shared" si="1"/>
        <v>-180120.64999999991</v>
      </c>
    </row>
    <row r="98" spans="2:9">
      <c r="B98" s="19">
        <v>45792</v>
      </c>
      <c r="C98" s="20" t="s">
        <v>75</v>
      </c>
      <c r="D98" s="125" t="s">
        <v>514</v>
      </c>
      <c r="E98" s="125"/>
      <c r="F98" s="21"/>
      <c r="G98" s="119">
        <v>-30</v>
      </c>
      <c r="H98" s="21">
        <f t="shared" si="1"/>
        <v>-180150.64999999991</v>
      </c>
    </row>
    <row r="99" spans="2:9">
      <c r="B99" s="19">
        <v>45792</v>
      </c>
      <c r="C99" s="20" t="s">
        <v>75</v>
      </c>
      <c r="D99" s="125" t="s">
        <v>359</v>
      </c>
      <c r="E99" s="125"/>
      <c r="F99" s="21"/>
      <c r="G99" s="119">
        <v>-15.72</v>
      </c>
      <c r="H99" s="21">
        <f t="shared" si="1"/>
        <v>-180166.36999999991</v>
      </c>
    </row>
    <row r="100" spans="2:9">
      <c r="B100" s="19">
        <v>45793</v>
      </c>
      <c r="C100" s="20" t="s">
        <v>66</v>
      </c>
      <c r="D100" s="125" t="s">
        <v>309</v>
      </c>
      <c r="E100" s="125">
        <v>10974</v>
      </c>
      <c r="F100" s="21">
        <v>503.45</v>
      </c>
      <c r="G100" s="119"/>
      <c r="H100" s="21">
        <f t="shared" si="1"/>
        <v>-179662.9199999999</v>
      </c>
    </row>
    <row r="101" spans="2:9">
      <c r="B101" s="19">
        <v>45793</v>
      </c>
      <c r="C101" s="20" t="s">
        <v>207</v>
      </c>
      <c r="D101" s="125" t="s">
        <v>300</v>
      </c>
      <c r="E101" s="125">
        <v>10974</v>
      </c>
      <c r="F101" s="21">
        <v>503.45</v>
      </c>
      <c r="G101" s="119"/>
      <c r="H101" s="21">
        <f t="shared" si="1"/>
        <v>-179159.46999999988</v>
      </c>
    </row>
    <row r="102" spans="2:9">
      <c r="B102" s="19">
        <v>45793</v>
      </c>
      <c r="C102" s="20" t="s">
        <v>66</v>
      </c>
      <c r="D102" s="125" t="s">
        <v>312</v>
      </c>
      <c r="E102" s="125">
        <v>10974</v>
      </c>
      <c r="F102" s="21">
        <v>524</v>
      </c>
      <c r="G102" s="119"/>
      <c r="H102" s="21">
        <f t="shared" si="1"/>
        <v>-178635.46999999988</v>
      </c>
    </row>
    <row r="103" spans="2:9">
      <c r="B103" s="19">
        <v>45793</v>
      </c>
      <c r="C103" s="20" t="s">
        <v>211</v>
      </c>
      <c r="D103" s="125" t="s">
        <v>305</v>
      </c>
      <c r="E103" s="125">
        <v>10974</v>
      </c>
      <c r="F103" s="21">
        <v>524</v>
      </c>
      <c r="G103" s="119"/>
      <c r="H103" s="21">
        <f t="shared" si="1"/>
        <v>-178111.46999999988</v>
      </c>
    </row>
    <row r="104" spans="2:9">
      <c r="B104" s="19">
        <v>45793</v>
      </c>
      <c r="C104" s="20" t="s">
        <v>212</v>
      </c>
      <c r="D104" s="125" t="s">
        <v>306</v>
      </c>
      <c r="E104" s="125">
        <v>10974</v>
      </c>
      <c r="F104" s="21">
        <v>524</v>
      </c>
      <c r="G104" s="119"/>
      <c r="H104" s="21">
        <f t="shared" si="1"/>
        <v>-177587.46999999988</v>
      </c>
    </row>
    <row r="105" spans="2:9">
      <c r="B105" s="19">
        <v>45793</v>
      </c>
      <c r="C105" s="20" t="s">
        <v>1</v>
      </c>
      <c r="D105" s="125" t="s">
        <v>178</v>
      </c>
      <c r="E105" s="125">
        <v>10967</v>
      </c>
      <c r="F105" s="21">
        <v>605</v>
      </c>
      <c r="G105" s="119"/>
      <c r="H105" s="21">
        <f t="shared" si="1"/>
        <v>-176982.46999999988</v>
      </c>
    </row>
    <row r="106" spans="2:9" ht="15" customHeight="1">
      <c r="B106" s="19">
        <v>45793</v>
      </c>
      <c r="C106" s="20" t="s">
        <v>100</v>
      </c>
      <c r="D106" s="125" t="s">
        <v>138</v>
      </c>
      <c r="E106" s="125">
        <v>10965</v>
      </c>
      <c r="F106" s="21">
        <v>694.3</v>
      </c>
      <c r="G106" s="119"/>
      <c r="H106" s="21">
        <f t="shared" si="1"/>
        <v>-176288.1699999999</v>
      </c>
    </row>
    <row r="107" spans="2:9" ht="15" customHeight="1">
      <c r="B107" s="19">
        <v>45793</v>
      </c>
      <c r="C107" s="20" t="s">
        <v>104</v>
      </c>
      <c r="D107" s="125" t="s">
        <v>296</v>
      </c>
      <c r="E107" s="125">
        <v>10970</v>
      </c>
      <c r="F107" s="21">
        <v>767.55</v>
      </c>
      <c r="G107" s="119"/>
      <c r="H107" s="21">
        <f t="shared" si="1"/>
        <v>-175520.61999999991</v>
      </c>
    </row>
    <row r="108" spans="2:9">
      <c r="B108" s="19">
        <v>45793</v>
      </c>
      <c r="C108" s="20" t="s">
        <v>60</v>
      </c>
      <c r="D108" s="125" t="s">
        <v>294</v>
      </c>
      <c r="E108" s="125">
        <v>10968</v>
      </c>
      <c r="F108" s="21">
        <v>849.89</v>
      </c>
      <c r="G108" s="119"/>
      <c r="H108" s="21">
        <f t="shared" si="1"/>
        <v>-174670.72999999989</v>
      </c>
    </row>
    <row r="109" spans="2:9">
      <c r="B109" s="19">
        <v>45793</v>
      </c>
      <c r="C109" s="20" t="s">
        <v>104</v>
      </c>
      <c r="D109" s="125" t="s">
        <v>298</v>
      </c>
      <c r="E109" s="125">
        <v>10972</v>
      </c>
      <c r="F109" s="21">
        <v>902.61</v>
      </c>
      <c r="G109" s="119"/>
      <c r="H109" s="21">
        <f t="shared" si="1"/>
        <v>-173768.11999999991</v>
      </c>
    </row>
    <row r="110" spans="2:9">
      <c r="B110" s="19">
        <v>45793</v>
      </c>
      <c r="C110" s="20" t="s">
        <v>200</v>
      </c>
      <c r="D110" s="125" t="s">
        <v>199</v>
      </c>
      <c r="E110" s="125">
        <v>10974</v>
      </c>
      <c r="F110" s="21">
        <v>978.4</v>
      </c>
      <c r="G110" s="119"/>
      <c r="H110" s="21">
        <f t="shared" si="1"/>
        <v>-172789.71999999991</v>
      </c>
    </row>
    <row r="111" spans="2:9">
      <c r="B111" s="19">
        <v>45793</v>
      </c>
      <c r="C111" s="20" t="s">
        <v>66</v>
      </c>
      <c r="D111" s="125" t="s">
        <v>307</v>
      </c>
      <c r="E111" s="125">
        <v>10974</v>
      </c>
      <c r="F111" s="21">
        <v>1006.9</v>
      </c>
      <c r="G111" s="119"/>
      <c r="H111" s="21">
        <f t="shared" si="1"/>
        <v>-171782.81999999992</v>
      </c>
      <c r="I111" s="25"/>
    </row>
    <row r="112" spans="2:9">
      <c r="B112" s="19">
        <v>45793</v>
      </c>
      <c r="C112" s="20" t="s">
        <v>66</v>
      </c>
      <c r="D112" s="125" t="s">
        <v>310</v>
      </c>
      <c r="E112" s="125">
        <v>10974</v>
      </c>
      <c r="F112" s="21">
        <v>1006.9</v>
      </c>
      <c r="G112" s="119"/>
      <c r="H112" s="21">
        <f t="shared" si="1"/>
        <v>-170775.91999999993</v>
      </c>
      <c r="I112" s="25"/>
    </row>
    <row r="113" spans="2:9">
      <c r="B113" s="19">
        <v>45793</v>
      </c>
      <c r="C113" s="20" t="s">
        <v>66</v>
      </c>
      <c r="D113" s="125" t="s">
        <v>311</v>
      </c>
      <c r="E113" s="125">
        <v>10974</v>
      </c>
      <c r="F113" s="21">
        <v>1006.9</v>
      </c>
      <c r="G113" s="119"/>
      <c r="H113" s="21">
        <f t="shared" si="1"/>
        <v>-169769.01999999993</v>
      </c>
      <c r="I113" s="26"/>
    </row>
    <row r="114" spans="2:9">
      <c r="B114" s="19">
        <v>45793</v>
      </c>
      <c r="C114" s="20" t="s">
        <v>209</v>
      </c>
      <c r="D114" s="125" t="s">
        <v>303</v>
      </c>
      <c r="E114" s="125">
        <v>10974</v>
      </c>
      <c r="F114" s="21">
        <v>1006.9</v>
      </c>
      <c r="G114" s="119"/>
      <c r="H114" s="21">
        <f t="shared" si="1"/>
        <v>-168762.11999999994</v>
      </c>
      <c r="I114" s="26"/>
    </row>
    <row r="115" spans="2:9">
      <c r="B115" s="19">
        <v>45793</v>
      </c>
      <c r="C115" s="20" t="s">
        <v>208</v>
      </c>
      <c r="D115" s="125" t="s">
        <v>302</v>
      </c>
      <c r="E115" s="125">
        <v>10974</v>
      </c>
      <c r="F115" s="21">
        <v>1006.9</v>
      </c>
      <c r="G115" s="119"/>
      <c r="H115" s="21">
        <f t="shared" si="1"/>
        <v>-167755.21999999994</v>
      </c>
    </row>
    <row r="116" spans="2:9">
      <c r="B116" s="19">
        <v>45793</v>
      </c>
      <c r="C116" s="20" t="s">
        <v>105</v>
      </c>
      <c r="D116" s="125" t="s">
        <v>301</v>
      </c>
      <c r="E116" s="125">
        <v>10974</v>
      </c>
      <c r="F116" s="21">
        <v>1006.9</v>
      </c>
      <c r="G116" s="119"/>
      <c r="H116" s="21">
        <f t="shared" si="1"/>
        <v>-166748.31999999995</v>
      </c>
    </row>
    <row r="117" spans="2:9">
      <c r="B117" s="19">
        <v>45793</v>
      </c>
      <c r="C117" s="20" t="s">
        <v>210</v>
      </c>
      <c r="D117" s="125" t="s">
        <v>304</v>
      </c>
      <c r="E117" s="125">
        <v>10974</v>
      </c>
      <c r="F117" s="21">
        <v>1006.9</v>
      </c>
      <c r="G117" s="119"/>
      <c r="H117" s="21">
        <f t="shared" si="1"/>
        <v>-165741.41999999995</v>
      </c>
    </row>
    <row r="118" spans="2:9">
      <c r="B118" s="19">
        <v>45793</v>
      </c>
      <c r="C118" s="20" t="s">
        <v>100</v>
      </c>
      <c r="D118" s="125" t="s">
        <v>139</v>
      </c>
      <c r="E118" s="125">
        <v>10966</v>
      </c>
      <c r="F118" s="21">
        <v>1267.8399999999999</v>
      </c>
      <c r="G118" s="119"/>
      <c r="H118" s="21">
        <f t="shared" si="1"/>
        <v>-164473.57999999996</v>
      </c>
    </row>
    <row r="119" spans="2:9">
      <c r="B119" s="19">
        <v>45793</v>
      </c>
      <c r="C119" s="20" t="s">
        <v>82</v>
      </c>
      <c r="D119" s="125" t="s">
        <v>295</v>
      </c>
      <c r="E119" s="125">
        <v>10969</v>
      </c>
      <c r="F119" s="21">
        <v>1392.38</v>
      </c>
      <c r="G119" s="119"/>
      <c r="H119" s="21">
        <f t="shared" si="1"/>
        <v>-163081.19999999995</v>
      </c>
    </row>
    <row r="120" spans="2:9">
      <c r="B120" s="19">
        <v>45793</v>
      </c>
      <c r="C120" s="20" t="s">
        <v>205</v>
      </c>
      <c r="D120" s="125" t="s">
        <v>297</v>
      </c>
      <c r="E120" s="125">
        <v>10971</v>
      </c>
      <c r="F120" s="21">
        <v>1510.92</v>
      </c>
      <c r="G120" s="119"/>
      <c r="H120" s="21">
        <f t="shared" si="1"/>
        <v>-161570.27999999994</v>
      </c>
    </row>
    <row r="121" spans="2:9">
      <c r="B121" s="19">
        <v>45793</v>
      </c>
      <c r="C121" s="20" t="s">
        <v>66</v>
      </c>
      <c r="D121" s="125" t="s">
        <v>308</v>
      </c>
      <c r="E121" s="125">
        <v>10974</v>
      </c>
      <c r="F121" s="21">
        <v>2013.8</v>
      </c>
      <c r="G121" s="119"/>
      <c r="H121" s="21">
        <f t="shared" si="1"/>
        <v>-159556.47999999995</v>
      </c>
    </row>
    <row r="122" spans="2:9">
      <c r="B122" s="19">
        <v>45793</v>
      </c>
      <c r="C122" s="20" t="s">
        <v>206</v>
      </c>
      <c r="D122" s="125" t="s">
        <v>299</v>
      </c>
      <c r="E122" s="125">
        <v>10973</v>
      </c>
      <c r="F122" s="21">
        <v>7166.33</v>
      </c>
      <c r="G122" s="119"/>
      <c r="H122" s="21">
        <f t="shared" si="1"/>
        <v>-152390.14999999997</v>
      </c>
    </row>
    <row r="123" spans="2:9">
      <c r="B123" s="19">
        <v>45793</v>
      </c>
      <c r="C123" s="20" t="s">
        <v>80</v>
      </c>
      <c r="D123" s="125" t="s">
        <v>313</v>
      </c>
      <c r="E123" s="125">
        <v>10976</v>
      </c>
      <c r="F123" s="21">
        <v>32703.26</v>
      </c>
      <c r="G123" s="119"/>
      <c r="H123" s="21">
        <f t="shared" si="1"/>
        <v>-119686.88999999997</v>
      </c>
    </row>
    <row r="124" spans="2:9" ht="15.75" customHeight="1">
      <c r="B124" s="19">
        <v>45793</v>
      </c>
      <c r="C124" s="20" t="s">
        <v>204</v>
      </c>
      <c r="D124" s="125" t="s">
        <v>293</v>
      </c>
      <c r="E124" s="125">
        <v>10964</v>
      </c>
      <c r="F124" s="21">
        <v>1025436.28</v>
      </c>
      <c r="G124" s="119"/>
      <c r="H124" s="21">
        <f t="shared" si="1"/>
        <v>905749.39</v>
      </c>
    </row>
    <row r="125" spans="2:9">
      <c r="B125" s="19">
        <v>45796</v>
      </c>
      <c r="C125" s="20" t="s">
        <v>103</v>
      </c>
      <c r="D125" s="125" t="s">
        <v>316</v>
      </c>
      <c r="E125" s="125">
        <v>10983</v>
      </c>
      <c r="F125" s="21">
        <v>2165.0500000000002</v>
      </c>
      <c r="G125" s="119"/>
      <c r="H125" s="21">
        <f t="shared" si="1"/>
        <v>907914.44000000006</v>
      </c>
    </row>
    <row r="126" spans="2:9">
      <c r="B126" s="19">
        <v>45796</v>
      </c>
      <c r="C126" s="20" t="s">
        <v>104</v>
      </c>
      <c r="D126" s="125" t="s">
        <v>314</v>
      </c>
      <c r="E126" s="125">
        <v>10979</v>
      </c>
      <c r="F126" s="21">
        <v>4266.09</v>
      </c>
      <c r="G126" s="119"/>
      <c r="H126" s="21">
        <f t="shared" si="1"/>
        <v>912180.53</v>
      </c>
    </row>
    <row r="127" spans="2:9">
      <c r="B127" s="19">
        <v>45796</v>
      </c>
      <c r="C127" s="20" t="s">
        <v>116</v>
      </c>
      <c r="D127" s="125" t="s">
        <v>315</v>
      </c>
      <c r="E127" s="125">
        <v>10982</v>
      </c>
      <c r="F127" s="21">
        <v>4383.75</v>
      </c>
      <c r="G127" s="119"/>
      <c r="H127" s="21">
        <f t="shared" si="1"/>
        <v>916564.28</v>
      </c>
    </row>
    <row r="128" spans="2:9">
      <c r="B128" s="19">
        <v>45796</v>
      </c>
      <c r="C128" s="20" t="s">
        <v>61</v>
      </c>
      <c r="D128" s="125" t="s">
        <v>317</v>
      </c>
      <c r="E128" s="125">
        <v>10984</v>
      </c>
      <c r="F128" s="21">
        <v>24408.65</v>
      </c>
      <c r="G128" s="119"/>
      <c r="H128" s="21">
        <f t="shared" si="1"/>
        <v>940972.93</v>
      </c>
    </row>
    <row r="129" spans="2:9">
      <c r="B129" s="19">
        <v>45797</v>
      </c>
      <c r="C129" s="20" t="s">
        <v>263</v>
      </c>
      <c r="D129" s="125" t="s">
        <v>489</v>
      </c>
      <c r="E129" s="125"/>
      <c r="F129" s="21"/>
      <c r="G129" s="119">
        <v>-1200000</v>
      </c>
      <c r="H129" s="21">
        <f t="shared" si="1"/>
        <v>-259027.06999999995</v>
      </c>
    </row>
    <row r="130" spans="2:9">
      <c r="B130" s="19">
        <v>45797</v>
      </c>
      <c r="C130" s="20" t="s">
        <v>76</v>
      </c>
      <c r="D130" s="125" t="s">
        <v>489</v>
      </c>
      <c r="E130" s="125"/>
      <c r="F130" s="21"/>
      <c r="G130" s="119">
        <v>-3000</v>
      </c>
      <c r="H130" s="21">
        <f t="shared" si="1"/>
        <v>-262027.06999999995</v>
      </c>
    </row>
    <row r="131" spans="2:9">
      <c r="B131" s="19">
        <v>45797</v>
      </c>
      <c r="C131" s="20" t="s">
        <v>81</v>
      </c>
      <c r="D131" s="125" t="s">
        <v>492</v>
      </c>
      <c r="E131" s="125"/>
      <c r="F131" s="21"/>
      <c r="G131" s="119">
        <v>-233.22</v>
      </c>
      <c r="H131" s="21">
        <f t="shared" si="1"/>
        <v>-262260.28999999992</v>
      </c>
    </row>
    <row r="132" spans="2:9" ht="15.75" customHeight="1">
      <c r="B132" s="19">
        <v>45797</v>
      </c>
      <c r="C132" s="20" t="s">
        <v>81</v>
      </c>
      <c r="D132" s="125" t="s">
        <v>493</v>
      </c>
      <c r="E132" s="125"/>
      <c r="F132" s="21"/>
      <c r="G132" s="119">
        <v>-233.22</v>
      </c>
      <c r="H132" s="21">
        <f t="shared" si="1"/>
        <v>-262493.50999999989</v>
      </c>
    </row>
    <row r="133" spans="2:9">
      <c r="B133" s="19">
        <v>45797</v>
      </c>
      <c r="C133" s="20" t="s">
        <v>73</v>
      </c>
      <c r="D133" s="125" t="s">
        <v>505</v>
      </c>
      <c r="E133" s="125"/>
      <c r="F133" s="21"/>
      <c r="G133" s="119">
        <v>-42.26</v>
      </c>
      <c r="H133" s="21">
        <f t="shared" si="1"/>
        <v>-262535.7699999999</v>
      </c>
    </row>
    <row r="134" spans="2:9">
      <c r="B134" s="19">
        <v>45797</v>
      </c>
      <c r="C134" s="20" t="s">
        <v>77</v>
      </c>
      <c r="D134" s="125" t="s">
        <v>383</v>
      </c>
      <c r="E134" s="125"/>
      <c r="F134" s="21"/>
      <c r="G134" s="119">
        <v>-39.479999999999997</v>
      </c>
      <c r="H134" s="21">
        <f t="shared" si="1"/>
        <v>-262575.24999999988</v>
      </c>
    </row>
    <row r="135" spans="2:9">
      <c r="B135" s="19">
        <v>45797</v>
      </c>
      <c r="C135" s="20" t="s">
        <v>73</v>
      </c>
      <c r="D135" s="125" t="s">
        <v>516</v>
      </c>
      <c r="E135" s="125"/>
      <c r="F135" s="21"/>
      <c r="G135" s="119">
        <v>-21.13</v>
      </c>
      <c r="H135" s="21">
        <f t="shared" si="1"/>
        <v>-262596.37999999989</v>
      </c>
    </row>
    <row r="136" spans="2:9">
      <c r="B136" s="19">
        <v>45797</v>
      </c>
      <c r="C136" s="20" t="s">
        <v>219</v>
      </c>
      <c r="D136" s="125" t="s">
        <v>328</v>
      </c>
      <c r="E136" s="125">
        <v>11000</v>
      </c>
      <c r="F136" s="21">
        <v>130</v>
      </c>
      <c r="G136" s="119"/>
      <c r="H136" s="21">
        <f t="shared" si="1"/>
        <v>-262466.37999999989</v>
      </c>
    </row>
    <row r="137" spans="2:9">
      <c r="B137" s="19">
        <v>45797</v>
      </c>
      <c r="C137" s="20" t="s">
        <v>106</v>
      </c>
      <c r="D137" s="125" t="s">
        <v>324</v>
      </c>
      <c r="E137" s="125">
        <v>10996</v>
      </c>
      <c r="F137" s="21">
        <v>1398</v>
      </c>
      <c r="G137" s="119"/>
      <c r="H137" s="21">
        <f t="shared" si="1"/>
        <v>-261068.37999999989</v>
      </c>
    </row>
    <row r="138" spans="2:9">
      <c r="B138" s="19">
        <v>45797</v>
      </c>
      <c r="C138" s="20" t="s">
        <v>106</v>
      </c>
      <c r="D138" s="125" t="s">
        <v>329</v>
      </c>
      <c r="E138" s="125">
        <v>11000</v>
      </c>
      <c r="F138" s="21">
        <v>1470</v>
      </c>
      <c r="G138" s="119"/>
      <c r="H138" s="21">
        <f t="shared" si="1"/>
        <v>-259598.37999999989</v>
      </c>
    </row>
    <row r="139" spans="2:9">
      <c r="B139" s="19">
        <v>45797</v>
      </c>
      <c r="C139" s="20" t="s">
        <v>59</v>
      </c>
      <c r="D139" s="125" t="s">
        <v>335</v>
      </c>
      <c r="E139" s="125">
        <v>11006</v>
      </c>
      <c r="F139" s="21">
        <v>1552.93</v>
      </c>
      <c r="G139" s="119"/>
      <c r="H139" s="21">
        <f t="shared" si="1"/>
        <v>-258045.4499999999</v>
      </c>
    </row>
    <row r="140" spans="2:9">
      <c r="B140" s="19">
        <v>45797</v>
      </c>
      <c r="C140" s="20" t="s">
        <v>78</v>
      </c>
      <c r="D140" s="125" t="s">
        <v>327</v>
      </c>
      <c r="E140" s="125">
        <v>10999</v>
      </c>
      <c r="F140" s="21">
        <v>1661.14</v>
      </c>
      <c r="G140" s="119"/>
      <c r="H140" s="21">
        <f t="shared" si="1"/>
        <v>-256384.30999999988</v>
      </c>
    </row>
    <row r="141" spans="2:9">
      <c r="B141" s="19">
        <v>45797</v>
      </c>
      <c r="C141" s="20" t="s">
        <v>214</v>
      </c>
      <c r="D141" s="125" t="s">
        <v>320</v>
      </c>
      <c r="E141" s="125">
        <v>10992</v>
      </c>
      <c r="F141" s="21">
        <v>1705.38</v>
      </c>
      <c r="G141" s="119"/>
      <c r="H141" s="21">
        <f t="shared" si="1"/>
        <v>-254678.92999999988</v>
      </c>
    </row>
    <row r="142" spans="2:9">
      <c r="B142" s="19">
        <v>45797</v>
      </c>
      <c r="C142" s="20" t="s">
        <v>71</v>
      </c>
      <c r="D142" s="125" t="s">
        <v>341</v>
      </c>
      <c r="E142" s="125">
        <v>11012</v>
      </c>
      <c r="F142" s="21">
        <v>1729.2</v>
      </c>
      <c r="G142" s="119"/>
      <c r="H142" s="21">
        <f t="shared" ref="H142:H205" si="2">+H141+F142+G142</f>
        <v>-252949.72999999986</v>
      </c>
    </row>
    <row r="143" spans="2:9">
      <c r="B143" s="19">
        <v>45797</v>
      </c>
      <c r="C143" s="20" t="s">
        <v>220</v>
      </c>
      <c r="D143" s="125" t="s">
        <v>330</v>
      </c>
      <c r="E143" s="125">
        <v>11001</v>
      </c>
      <c r="F143" s="21">
        <v>1773.12</v>
      </c>
      <c r="G143" s="119"/>
      <c r="H143" s="21">
        <f t="shared" si="2"/>
        <v>-251176.60999999987</v>
      </c>
      <c r="I143" s="22"/>
    </row>
    <row r="144" spans="2:9">
      <c r="B144" s="19">
        <v>45797</v>
      </c>
      <c r="C144" s="20" t="s">
        <v>218</v>
      </c>
      <c r="D144" s="125" t="s">
        <v>326</v>
      </c>
      <c r="E144" s="125">
        <v>10998</v>
      </c>
      <c r="F144" s="21">
        <v>1918.6</v>
      </c>
      <c r="G144" s="119"/>
      <c r="H144" s="21">
        <f t="shared" si="2"/>
        <v>-249258.00999999986</v>
      </c>
    </row>
    <row r="145" spans="2:9">
      <c r="B145" s="19">
        <v>45797</v>
      </c>
      <c r="C145" s="20" t="s">
        <v>84</v>
      </c>
      <c r="D145" s="125" t="s">
        <v>333</v>
      </c>
      <c r="E145" s="125">
        <v>11004</v>
      </c>
      <c r="F145" s="21">
        <v>1980</v>
      </c>
      <c r="G145" s="119"/>
      <c r="H145" s="21">
        <f t="shared" si="2"/>
        <v>-247278.00999999986</v>
      </c>
    </row>
    <row r="146" spans="2:9">
      <c r="B146" s="19">
        <v>45797</v>
      </c>
      <c r="C146" s="20" t="s">
        <v>98</v>
      </c>
      <c r="D146" s="125" t="s">
        <v>337</v>
      </c>
      <c r="E146" s="125">
        <v>11008</v>
      </c>
      <c r="F146" s="21">
        <v>1999.5</v>
      </c>
      <c r="G146" s="119"/>
      <c r="H146" s="21">
        <f t="shared" si="2"/>
        <v>-245278.50999999986</v>
      </c>
    </row>
    <row r="147" spans="2:9">
      <c r="B147" s="19">
        <v>45797</v>
      </c>
      <c r="C147" s="20" t="s">
        <v>98</v>
      </c>
      <c r="D147" s="125" t="s">
        <v>338</v>
      </c>
      <c r="E147" s="125">
        <v>11009</v>
      </c>
      <c r="F147" s="21">
        <v>1999.5</v>
      </c>
      <c r="G147" s="119"/>
      <c r="H147" s="21">
        <f t="shared" si="2"/>
        <v>-243279.00999999986</v>
      </c>
    </row>
    <row r="148" spans="2:9">
      <c r="B148" s="19">
        <v>45797</v>
      </c>
      <c r="C148" s="20" t="s">
        <v>213</v>
      </c>
      <c r="D148" s="125" t="s">
        <v>319</v>
      </c>
      <c r="E148" s="125">
        <v>10991</v>
      </c>
      <c r="F148" s="21">
        <v>2147.42</v>
      </c>
      <c r="G148" s="119"/>
      <c r="H148" s="21">
        <f t="shared" si="2"/>
        <v>-241131.58999999985</v>
      </c>
    </row>
    <row r="149" spans="2:9">
      <c r="B149" s="19">
        <v>45797</v>
      </c>
      <c r="C149" s="20" t="s">
        <v>102</v>
      </c>
      <c r="D149" s="125" t="s">
        <v>322</v>
      </c>
      <c r="E149" s="125">
        <v>10994</v>
      </c>
      <c r="F149" s="21">
        <v>2164.83</v>
      </c>
      <c r="G149" s="119"/>
      <c r="H149" s="21">
        <f t="shared" si="2"/>
        <v>-238966.75999999986</v>
      </c>
    </row>
    <row r="150" spans="2:9">
      <c r="B150" s="19">
        <v>45797</v>
      </c>
      <c r="C150" s="20" t="s">
        <v>89</v>
      </c>
      <c r="D150" s="125" t="s">
        <v>339</v>
      </c>
      <c r="E150" s="125">
        <v>11010</v>
      </c>
      <c r="F150" s="21">
        <v>2253.1999999999998</v>
      </c>
      <c r="G150" s="119"/>
      <c r="H150" s="21">
        <f t="shared" si="2"/>
        <v>-236713.55999999985</v>
      </c>
    </row>
    <row r="151" spans="2:9">
      <c r="B151" s="19">
        <v>45797</v>
      </c>
      <c r="C151" s="20" t="s">
        <v>217</v>
      </c>
      <c r="D151" s="125" t="s">
        <v>325</v>
      </c>
      <c r="E151" s="125">
        <v>10997</v>
      </c>
      <c r="F151" s="21">
        <v>2440.39</v>
      </c>
      <c r="G151" s="119"/>
      <c r="H151" s="21">
        <f t="shared" si="2"/>
        <v>-234273.16999999984</v>
      </c>
    </row>
    <row r="152" spans="2:9">
      <c r="B152" s="19">
        <v>45797</v>
      </c>
      <c r="C152" s="20" t="s">
        <v>216</v>
      </c>
      <c r="D152" s="125" t="s">
        <v>323</v>
      </c>
      <c r="E152" s="125">
        <v>10995</v>
      </c>
      <c r="F152" s="21">
        <v>2459.09</v>
      </c>
      <c r="G152" s="119"/>
      <c r="H152" s="21">
        <f t="shared" si="2"/>
        <v>-231814.07999999984</v>
      </c>
    </row>
    <row r="153" spans="2:9">
      <c r="B153" s="19">
        <v>45797</v>
      </c>
      <c r="C153" s="20" t="s">
        <v>90</v>
      </c>
      <c r="D153" s="125" t="s">
        <v>340</v>
      </c>
      <c r="E153" s="125">
        <v>11011</v>
      </c>
      <c r="F153" s="21">
        <v>2480</v>
      </c>
      <c r="G153" s="119"/>
      <c r="H153" s="21">
        <f t="shared" si="2"/>
        <v>-229334.07999999984</v>
      </c>
    </row>
    <row r="154" spans="2:9">
      <c r="B154" s="19">
        <v>45797</v>
      </c>
      <c r="C154" s="20" t="s">
        <v>102</v>
      </c>
      <c r="D154" s="125" t="s">
        <v>334</v>
      </c>
      <c r="E154" s="125">
        <v>11005</v>
      </c>
      <c r="F154" s="21">
        <v>2668.28</v>
      </c>
      <c r="G154" s="119"/>
      <c r="H154" s="21">
        <f t="shared" si="2"/>
        <v>-226665.79999999984</v>
      </c>
    </row>
    <row r="155" spans="2:9">
      <c r="B155" s="19">
        <v>45797</v>
      </c>
      <c r="C155" s="20" t="s">
        <v>222</v>
      </c>
      <c r="D155" s="125" t="s">
        <v>342</v>
      </c>
      <c r="E155" s="125">
        <v>11013</v>
      </c>
      <c r="F155" s="21">
        <v>3384.62</v>
      </c>
      <c r="G155" s="119"/>
      <c r="H155" s="21">
        <f t="shared" si="2"/>
        <v>-223281.17999999985</v>
      </c>
    </row>
    <row r="156" spans="2:9">
      <c r="B156" s="19">
        <v>45797</v>
      </c>
      <c r="C156" s="20" t="s">
        <v>215</v>
      </c>
      <c r="D156" s="125" t="s">
        <v>321</v>
      </c>
      <c r="E156" s="125">
        <v>10993</v>
      </c>
      <c r="F156" s="21">
        <v>6031</v>
      </c>
      <c r="G156" s="119"/>
      <c r="H156" s="21">
        <f t="shared" si="2"/>
        <v>-217250.17999999985</v>
      </c>
      <c r="I156" s="26"/>
    </row>
    <row r="157" spans="2:9">
      <c r="B157" s="19">
        <v>45797</v>
      </c>
      <c r="C157" s="20" t="s">
        <v>221</v>
      </c>
      <c r="D157" s="125" t="s">
        <v>336</v>
      </c>
      <c r="E157" s="125">
        <v>11007</v>
      </c>
      <c r="F157" s="21">
        <v>18279.919999999998</v>
      </c>
      <c r="G157" s="119"/>
      <c r="H157" s="21">
        <f t="shared" si="2"/>
        <v>-198970.25999999983</v>
      </c>
      <c r="I157" s="26"/>
    </row>
    <row r="158" spans="2:9">
      <c r="B158" s="19">
        <v>45797</v>
      </c>
      <c r="C158" s="20" t="s">
        <v>100</v>
      </c>
      <c r="D158" s="125" t="s">
        <v>331</v>
      </c>
      <c r="E158" s="125">
        <v>11002</v>
      </c>
      <c r="F158" s="21">
        <v>23534.34</v>
      </c>
      <c r="G158" s="119"/>
      <c r="H158" s="21">
        <f t="shared" si="2"/>
        <v>-175435.91999999984</v>
      </c>
      <c r="I158" s="26"/>
    </row>
    <row r="159" spans="2:9">
      <c r="B159" s="19">
        <v>45797</v>
      </c>
      <c r="C159" s="20" t="s">
        <v>215</v>
      </c>
      <c r="D159" s="125" t="s">
        <v>332</v>
      </c>
      <c r="E159" s="125">
        <v>11003</v>
      </c>
      <c r="F159" s="21">
        <v>30205.21</v>
      </c>
      <c r="G159" s="119"/>
      <c r="H159" s="21">
        <f t="shared" si="2"/>
        <v>-145230.70999999985</v>
      </c>
      <c r="I159" s="26"/>
    </row>
    <row r="160" spans="2:9">
      <c r="B160" s="19">
        <v>45797</v>
      </c>
      <c r="C160" s="20" t="s">
        <v>79</v>
      </c>
      <c r="D160" s="125" t="s">
        <v>318</v>
      </c>
      <c r="E160" s="125">
        <v>10990</v>
      </c>
      <c r="F160" s="21">
        <v>30680.09</v>
      </c>
      <c r="G160" s="119"/>
      <c r="H160" s="21">
        <f t="shared" si="2"/>
        <v>-114550.61999999985</v>
      </c>
    </row>
    <row r="161" spans="2:8">
      <c r="B161" s="19">
        <v>45798</v>
      </c>
      <c r="C161" s="20" t="s">
        <v>75</v>
      </c>
      <c r="D161" s="125" t="s">
        <v>376</v>
      </c>
      <c r="E161" s="125"/>
      <c r="F161" s="21"/>
      <c r="G161" s="119">
        <v>-34.07</v>
      </c>
      <c r="H161" s="21">
        <f t="shared" si="2"/>
        <v>-114584.68999999986</v>
      </c>
    </row>
    <row r="162" spans="2:8">
      <c r="B162" s="19">
        <v>45798</v>
      </c>
      <c r="C162" s="20" t="s">
        <v>73</v>
      </c>
      <c r="D162" s="125" t="s">
        <v>517</v>
      </c>
      <c r="E162" s="125"/>
      <c r="F162" s="21"/>
      <c r="G162" s="119">
        <v>-21.13</v>
      </c>
      <c r="H162" s="21">
        <f t="shared" si="2"/>
        <v>-114605.81999999986</v>
      </c>
    </row>
    <row r="163" spans="2:8">
      <c r="B163" s="19">
        <v>45798</v>
      </c>
      <c r="C163" s="20" t="s">
        <v>106</v>
      </c>
      <c r="D163" s="125" t="s">
        <v>346</v>
      </c>
      <c r="E163" s="125">
        <v>11019</v>
      </c>
      <c r="F163" s="21">
        <v>759</v>
      </c>
      <c r="G163" s="119"/>
      <c r="H163" s="21">
        <f t="shared" si="2"/>
        <v>-113846.81999999986</v>
      </c>
    </row>
    <row r="164" spans="2:8">
      <c r="B164" s="19">
        <v>45798</v>
      </c>
      <c r="C164" s="20" t="s">
        <v>106</v>
      </c>
      <c r="D164" s="125" t="s">
        <v>345</v>
      </c>
      <c r="E164" s="125">
        <v>11019</v>
      </c>
      <c r="F164" s="21">
        <v>900</v>
      </c>
      <c r="G164" s="119"/>
      <c r="H164" s="21">
        <f t="shared" si="2"/>
        <v>-112946.81999999986</v>
      </c>
    </row>
    <row r="165" spans="2:8">
      <c r="B165" s="19">
        <v>45798</v>
      </c>
      <c r="C165" s="20" t="s">
        <v>223</v>
      </c>
      <c r="D165" s="125" t="s">
        <v>349</v>
      </c>
      <c r="E165" s="125">
        <v>11022</v>
      </c>
      <c r="F165" s="21">
        <v>1057</v>
      </c>
      <c r="G165" s="119"/>
      <c r="H165" s="21">
        <f t="shared" si="2"/>
        <v>-111889.81999999986</v>
      </c>
    </row>
    <row r="166" spans="2:8">
      <c r="B166" s="19">
        <v>45798</v>
      </c>
      <c r="C166" s="20" t="s">
        <v>223</v>
      </c>
      <c r="D166" s="125" t="s">
        <v>347</v>
      </c>
      <c r="E166" s="125">
        <v>11020</v>
      </c>
      <c r="F166" s="21">
        <v>1557</v>
      </c>
      <c r="G166" s="119"/>
      <c r="H166" s="21">
        <f t="shared" si="2"/>
        <v>-110332.81999999986</v>
      </c>
    </row>
    <row r="167" spans="2:8">
      <c r="B167" s="19">
        <v>45798</v>
      </c>
      <c r="C167" s="20" t="s">
        <v>89</v>
      </c>
      <c r="D167" s="125" t="s">
        <v>348</v>
      </c>
      <c r="E167" s="125">
        <v>11021</v>
      </c>
      <c r="F167" s="21">
        <v>2164.84</v>
      </c>
      <c r="G167" s="119"/>
      <c r="H167" s="21">
        <f t="shared" si="2"/>
        <v>-108167.97999999986</v>
      </c>
    </row>
    <row r="168" spans="2:8">
      <c r="B168" s="19">
        <v>45798</v>
      </c>
      <c r="C168" s="20" t="s">
        <v>218</v>
      </c>
      <c r="D168" s="125" t="s">
        <v>352</v>
      </c>
      <c r="E168" s="125">
        <v>11025</v>
      </c>
      <c r="F168" s="21">
        <v>2397.08</v>
      </c>
      <c r="G168" s="119"/>
      <c r="H168" s="21">
        <f t="shared" si="2"/>
        <v>-105770.89999999986</v>
      </c>
    </row>
    <row r="169" spans="2:8">
      <c r="B169" s="19">
        <v>45798</v>
      </c>
      <c r="C169" s="20" t="s">
        <v>225</v>
      </c>
      <c r="D169" s="125" t="s">
        <v>354</v>
      </c>
      <c r="E169" s="125">
        <v>11027</v>
      </c>
      <c r="F169" s="21">
        <v>2466.9</v>
      </c>
      <c r="G169" s="119"/>
      <c r="H169" s="21">
        <f t="shared" si="2"/>
        <v>-103303.99999999987</v>
      </c>
    </row>
    <row r="170" spans="2:8">
      <c r="B170" s="19">
        <v>45798</v>
      </c>
      <c r="C170" s="20" t="s">
        <v>102</v>
      </c>
      <c r="D170" s="125" t="s">
        <v>353</v>
      </c>
      <c r="E170" s="125">
        <v>11026</v>
      </c>
      <c r="F170" s="21">
        <v>2466.91</v>
      </c>
      <c r="G170" s="119"/>
      <c r="H170" s="21">
        <f t="shared" si="2"/>
        <v>-100837.08999999987</v>
      </c>
    </row>
    <row r="171" spans="2:8">
      <c r="B171" s="19">
        <v>45798</v>
      </c>
      <c r="C171" s="20" t="s">
        <v>95</v>
      </c>
      <c r="D171" s="125" t="s">
        <v>343</v>
      </c>
      <c r="E171" s="125">
        <v>11017</v>
      </c>
      <c r="F171" s="21">
        <v>2777.2</v>
      </c>
      <c r="G171" s="119"/>
      <c r="H171" s="21">
        <f t="shared" si="2"/>
        <v>-98059.889999999868</v>
      </c>
    </row>
    <row r="172" spans="2:8">
      <c r="B172" s="19">
        <v>45798</v>
      </c>
      <c r="C172" s="20" t="s">
        <v>62</v>
      </c>
      <c r="D172" s="125" t="s">
        <v>344</v>
      </c>
      <c r="E172" s="125">
        <v>11018</v>
      </c>
      <c r="F172" s="21">
        <v>3609.58</v>
      </c>
      <c r="G172" s="119"/>
      <c r="H172" s="21">
        <f t="shared" si="2"/>
        <v>-94450.309999999867</v>
      </c>
    </row>
    <row r="173" spans="2:8">
      <c r="B173" s="19">
        <v>45798</v>
      </c>
      <c r="C173" s="20" t="s">
        <v>224</v>
      </c>
      <c r="D173" s="125" t="s">
        <v>350</v>
      </c>
      <c r="E173" s="125">
        <v>11023</v>
      </c>
      <c r="F173" s="21">
        <v>3862</v>
      </c>
      <c r="G173" s="119"/>
      <c r="H173" s="21">
        <f t="shared" si="2"/>
        <v>-90588.309999999867</v>
      </c>
    </row>
    <row r="174" spans="2:8">
      <c r="B174" s="19">
        <v>45798</v>
      </c>
      <c r="C174" s="20" t="s">
        <v>114</v>
      </c>
      <c r="D174" s="125" t="s">
        <v>351</v>
      </c>
      <c r="E174" s="125">
        <v>11024</v>
      </c>
      <c r="F174" s="21">
        <v>9801.42</v>
      </c>
      <c r="G174" s="119"/>
      <c r="H174" s="21">
        <f t="shared" si="2"/>
        <v>-80786.889999999868</v>
      </c>
    </row>
    <row r="175" spans="2:8">
      <c r="B175" s="19">
        <v>45799</v>
      </c>
      <c r="C175" s="20" t="s">
        <v>73</v>
      </c>
      <c r="D175" s="125" t="s">
        <v>497</v>
      </c>
      <c r="E175" s="125"/>
      <c r="F175" s="21"/>
      <c r="G175" s="119">
        <v>-141.6</v>
      </c>
      <c r="H175" s="21">
        <f t="shared" si="2"/>
        <v>-80928.489999999874</v>
      </c>
    </row>
    <row r="176" spans="2:8">
      <c r="B176" s="19">
        <v>45799</v>
      </c>
      <c r="C176" s="20" t="s">
        <v>77</v>
      </c>
      <c r="D176" s="125" t="s">
        <v>500</v>
      </c>
      <c r="E176" s="125"/>
      <c r="F176" s="21"/>
      <c r="G176" s="119">
        <v>-77.45</v>
      </c>
      <c r="H176" s="21">
        <f t="shared" si="2"/>
        <v>-81005.939999999871</v>
      </c>
    </row>
    <row r="177" spans="2:8">
      <c r="B177" s="19">
        <v>45799</v>
      </c>
      <c r="C177" s="20" t="s">
        <v>77</v>
      </c>
      <c r="D177" s="125" t="s">
        <v>464</v>
      </c>
      <c r="E177" s="125"/>
      <c r="F177" s="21"/>
      <c r="G177" s="119">
        <v>-35.96</v>
      </c>
      <c r="H177" s="21">
        <f t="shared" si="2"/>
        <v>-81041.899999999878</v>
      </c>
    </row>
    <row r="178" spans="2:8">
      <c r="B178" s="19">
        <v>45799</v>
      </c>
      <c r="C178" s="20" t="s">
        <v>77</v>
      </c>
      <c r="D178" s="125" t="s">
        <v>429</v>
      </c>
      <c r="E178" s="125"/>
      <c r="F178" s="21"/>
      <c r="G178" s="119">
        <v>-34.07</v>
      </c>
      <c r="H178" s="21">
        <f t="shared" si="2"/>
        <v>-81075.969999999885</v>
      </c>
    </row>
    <row r="179" spans="2:8">
      <c r="B179" s="19">
        <v>45799</v>
      </c>
      <c r="C179" s="20" t="s">
        <v>75</v>
      </c>
      <c r="D179" s="125" t="s">
        <v>469</v>
      </c>
      <c r="E179" s="125"/>
      <c r="F179" s="21"/>
      <c r="G179" s="119">
        <v>-15.85</v>
      </c>
      <c r="H179" s="21">
        <f t="shared" si="2"/>
        <v>-81091.819999999891</v>
      </c>
    </row>
    <row r="180" spans="2:8">
      <c r="B180" s="19">
        <v>45799</v>
      </c>
      <c r="C180" s="20" t="s">
        <v>226</v>
      </c>
      <c r="D180" s="125" t="s">
        <v>355</v>
      </c>
      <c r="E180" s="125">
        <v>11030</v>
      </c>
      <c r="F180" s="21">
        <v>1500</v>
      </c>
      <c r="G180" s="119"/>
      <c r="H180" s="21">
        <f t="shared" si="2"/>
        <v>-79591.819999999891</v>
      </c>
    </row>
    <row r="181" spans="2:8">
      <c r="B181" s="19">
        <v>45799</v>
      </c>
      <c r="C181" s="20" t="s">
        <v>226</v>
      </c>
      <c r="D181" s="125" t="s">
        <v>356</v>
      </c>
      <c r="E181" s="125">
        <v>11030</v>
      </c>
      <c r="F181" s="21">
        <v>3800</v>
      </c>
      <c r="G181" s="119"/>
      <c r="H181" s="21">
        <f t="shared" si="2"/>
        <v>-75791.819999999891</v>
      </c>
    </row>
    <row r="182" spans="2:8">
      <c r="B182" s="19">
        <v>45799</v>
      </c>
      <c r="C182" s="20" t="s">
        <v>158</v>
      </c>
      <c r="D182" s="125" t="s">
        <v>157</v>
      </c>
      <c r="E182" s="125">
        <v>11028</v>
      </c>
      <c r="F182" s="21">
        <v>4465.8999999999996</v>
      </c>
      <c r="G182" s="119"/>
      <c r="H182" s="21">
        <f t="shared" si="2"/>
        <v>-71325.919999999896</v>
      </c>
    </row>
    <row r="183" spans="2:8">
      <c r="B183" s="19">
        <v>45799</v>
      </c>
      <c r="C183" s="20" t="s">
        <v>66</v>
      </c>
      <c r="D183" s="125" t="s">
        <v>357</v>
      </c>
      <c r="E183" s="125">
        <v>11032</v>
      </c>
      <c r="F183" s="21">
        <v>7609.43</v>
      </c>
      <c r="G183" s="119"/>
      <c r="H183" s="21">
        <f t="shared" si="2"/>
        <v>-63716.489999999896</v>
      </c>
    </row>
    <row r="184" spans="2:8">
      <c r="B184" s="19">
        <v>45800</v>
      </c>
      <c r="C184" s="20" t="s">
        <v>73</v>
      </c>
      <c r="D184" s="125" t="s">
        <v>496</v>
      </c>
      <c r="E184" s="125"/>
      <c r="F184" s="21"/>
      <c r="G184" s="119">
        <v>-152.19</v>
      </c>
      <c r="H184" s="21">
        <f t="shared" si="2"/>
        <v>-63868.679999999898</v>
      </c>
    </row>
    <row r="185" spans="2:8">
      <c r="B185" s="19">
        <v>45800</v>
      </c>
      <c r="C185" s="20" t="s">
        <v>73</v>
      </c>
      <c r="D185" s="125" t="s">
        <v>511</v>
      </c>
      <c r="E185" s="125"/>
      <c r="F185" s="21"/>
      <c r="G185" s="119">
        <v>-31.69</v>
      </c>
      <c r="H185" s="21">
        <f t="shared" si="2"/>
        <v>-63900.369999999901</v>
      </c>
    </row>
    <row r="186" spans="2:8">
      <c r="B186" s="19">
        <v>45800</v>
      </c>
      <c r="C186" s="20" t="s">
        <v>77</v>
      </c>
      <c r="D186" s="125" t="s">
        <v>466</v>
      </c>
      <c r="E186" s="125"/>
      <c r="F186" s="21"/>
      <c r="G186" s="119">
        <v>-22.5</v>
      </c>
      <c r="H186" s="21">
        <f t="shared" si="2"/>
        <v>-63922.869999999901</v>
      </c>
    </row>
    <row r="187" spans="2:8">
      <c r="B187" s="19">
        <v>45800</v>
      </c>
      <c r="C187" s="20" t="s">
        <v>75</v>
      </c>
      <c r="D187" s="125" t="s">
        <v>520</v>
      </c>
      <c r="E187" s="125"/>
      <c r="F187" s="21"/>
      <c r="G187" s="119">
        <v>-15</v>
      </c>
      <c r="H187" s="21">
        <f t="shared" si="2"/>
        <v>-63937.869999999901</v>
      </c>
    </row>
    <row r="188" spans="2:8">
      <c r="B188" s="19">
        <v>45800</v>
      </c>
      <c r="C188" s="20" t="s">
        <v>77</v>
      </c>
      <c r="D188" s="125" t="s">
        <v>465</v>
      </c>
      <c r="E188" s="125"/>
      <c r="F188" s="21"/>
      <c r="G188" s="119">
        <v>-8.4</v>
      </c>
      <c r="H188" s="21">
        <f t="shared" si="2"/>
        <v>-63946.269999999902</v>
      </c>
    </row>
    <row r="189" spans="2:8">
      <c r="B189" s="19">
        <v>45801</v>
      </c>
      <c r="C189" s="20" t="s">
        <v>73</v>
      </c>
      <c r="D189" s="125" t="s">
        <v>503</v>
      </c>
      <c r="E189" s="125"/>
      <c r="F189" s="21"/>
      <c r="G189" s="119">
        <v>-44.25</v>
      </c>
      <c r="H189" s="21">
        <f t="shared" si="2"/>
        <v>-63990.519999999902</v>
      </c>
    </row>
    <row r="190" spans="2:8">
      <c r="B190" s="19">
        <v>45801</v>
      </c>
      <c r="C190" s="20" t="s">
        <v>73</v>
      </c>
      <c r="D190" s="125" t="s">
        <v>512</v>
      </c>
      <c r="E190" s="125"/>
      <c r="F190" s="21"/>
      <c r="G190" s="119">
        <v>-31.69</v>
      </c>
      <c r="H190" s="21">
        <f t="shared" si="2"/>
        <v>-64022.209999999905</v>
      </c>
    </row>
    <row r="191" spans="2:8">
      <c r="B191" s="19">
        <v>45803</v>
      </c>
      <c r="C191" s="20" t="s">
        <v>81</v>
      </c>
      <c r="D191" s="125" t="s">
        <v>494</v>
      </c>
      <c r="E191" s="125"/>
      <c r="F191" s="21"/>
      <c r="G191" s="119">
        <v>-233.22</v>
      </c>
      <c r="H191" s="21">
        <f t="shared" si="2"/>
        <v>-64255.429999999906</v>
      </c>
    </row>
    <row r="192" spans="2:8">
      <c r="B192" s="19">
        <v>45803</v>
      </c>
      <c r="C192" s="20" t="s">
        <v>81</v>
      </c>
      <c r="D192" s="125" t="s">
        <v>494</v>
      </c>
      <c r="E192" s="125"/>
      <c r="F192" s="21"/>
      <c r="G192" s="119">
        <v>-233.22</v>
      </c>
      <c r="H192" s="21">
        <f t="shared" si="2"/>
        <v>-64488.649999999907</v>
      </c>
    </row>
    <row r="193" spans="2:8">
      <c r="B193" s="19">
        <v>45803</v>
      </c>
      <c r="C193" s="20" t="s">
        <v>77</v>
      </c>
      <c r="D193" s="125" t="s">
        <v>434</v>
      </c>
      <c r="E193" s="125"/>
      <c r="F193" s="21"/>
      <c r="G193" s="119">
        <v>-33.799999999999997</v>
      </c>
      <c r="H193" s="21">
        <f t="shared" si="2"/>
        <v>-64522.44999999991</v>
      </c>
    </row>
    <row r="194" spans="2:8">
      <c r="B194" s="19">
        <v>45803</v>
      </c>
      <c r="C194" s="20" t="s">
        <v>228</v>
      </c>
      <c r="D194" s="125" t="s">
        <v>360</v>
      </c>
      <c r="E194" s="125">
        <v>11037</v>
      </c>
      <c r="F194" s="21">
        <v>528.20000000000005</v>
      </c>
      <c r="G194" s="119"/>
      <c r="H194" s="21">
        <f t="shared" si="2"/>
        <v>-63994.249999999913</v>
      </c>
    </row>
    <row r="195" spans="2:8">
      <c r="B195" s="19">
        <v>45803</v>
      </c>
      <c r="C195" s="20" t="s">
        <v>104</v>
      </c>
      <c r="D195" s="125" t="s">
        <v>198</v>
      </c>
      <c r="E195" s="125">
        <v>11043</v>
      </c>
      <c r="F195" s="21">
        <v>637.28</v>
      </c>
      <c r="G195" s="119"/>
      <c r="H195" s="21">
        <f t="shared" si="2"/>
        <v>-63356.969999999914</v>
      </c>
    </row>
    <row r="196" spans="2:8">
      <c r="B196" s="19">
        <v>45803</v>
      </c>
      <c r="C196" s="20" t="s">
        <v>112</v>
      </c>
      <c r="D196" s="125" t="s">
        <v>358</v>
      </c>
      <c r="E196" s="125">
        <v>11037</v>
      </c>
      <c r="F196" s="21">
        <v>1006.9</v>
      </c>
      <c r="G196" s="119"/>
      <c r="H196" s="21">
        <f t="shared" si="2"/>
        <v>-62350.069999999912</v>
      </c>
    </row>
    <row r="197" spans="2:8">
      <c r="B197" s="19">
        <v>45803</v>
      </c>
      <c r="C197" s="20" t="s">
        <v>227</v>
      </c>
      <c r="D197" s="125" t="s">
        <v>359</v>
      </c>
      <c r="E197" s="125">
        <v>11037</v>
      </c>
      <c r="F197" s="21">
        <v>1048</v>
      </c>
      <c r="G197" s="119"/>
      <c r="H197" s="21">
        <f t="shared" si="2"/>
        <v>-61302.069999999912</v>
      </c>
    </row>
    <row r="198" spans="2:8">
      <c r="B198" s="19">
        <v>45803</v>
      </c>
      <c r="C198" s="20" t="s">
        <v>66</v>
      </c>
      <c r="D198" s="125" t="s">
        <v>362</v>
      </c>
      <c r="E198" s="125">
        <v>11037</v>
      </c>
      <c r="F198" s="21">
        <v>1056.4000000000001</v>
      </c>
      <c r="G198" s="119"/>
      <c r="H198" s="21">
        <f t="shared" si="2"/>
        <v>-60245.669999999911</v>
      </c>
    </row>
    <row r="199" spans="2:8">
      <c r="B199" s="19">
        <v>45803</v>
      </c>
      <c r="C199" s="20" t="s">
        <v>66</v>
      </c>
      <c r="D199" s="125" t="s">
        <v>363</v>
      </c>
      <c r="E199" s="125">
        <v>11037</v>
      </c>
      <c r="F199" s="21">
        <v>1056.4000000000001</v>
      </c>
      <c r="G199" s="119"/>
      <c r="H199" s="21">
        <f t="shared" si="2"/>
        <v>-59189.269999999909</v>
      </c>
    </row>
    <row r="200" spans="2:8">
      <c r="B200" s="19">
        <v>45803</v>
      </c>
      <c r="C200" s="20" t="s">
        <v>66</v>
      </c>
      <c r="D200" s="125" t="s">
        <v>364</v>
      </c>
      <c r="E200" s="125">
        <v>11037</v>
      </c>
      <c r="F200" s="21">
        <v>1056.4000000000001</v>
      </c>
      <c r="G200" s="119"/>
      <c r="H200" s="21">
        <f t="shared" si="2"/>
        <v>-58132.869999999908</v>
      </c>
    </row>
    <row r="201" spans="2:8">
      <c r="B201" s="19">
        <v>45803</v>
      </c>
      <c r="C201" s="20" t="s">
        <v>66</v>
      </c>
      <c r="D201" s="125" t="s">
        <v>365</v>
      </c>
      <c r="E201" s="125">
        <v>11037</v>
      </c>
      <c r="F201" s="21">
        <v>1056.4000000000001</v>
      </c>
      <c r="G201" s="119"/>
      <c r="H201" s="21">
        <f t="shared" si="2"/>
        <v>-57076.469999999907</v>
      </c>
    </row>
    <row r="202" spans="2:8">
      <c r="B202" s="19">
        <v>45803</v>
      </c>
      <c r="C202" s="20" t="s">
        <v>66</v>
      </c>
      <c r="D202" s="125" t="s">
        <v>366</v>
      </c>
      <c r="E202" s="125">
        <v>11037</v>
      </c>
      <c r="F202" s="21">
        <v>1056.4000000000001</v>
      </c>
      <c r="G202" s="119"/>
      <c r="H202" s="21">
        <f t="shared" si="2"/>
        <v>-56020.069999999905</v>
      </c>
    </row>
    <row r="203" spans="2:8">
      <c r="B203" s="19">
        <v>45803</v>
      </c>
      <c r="C203" s="20" t="s">
        <v>228</v>
      </c>
      <c r="D203" s="125" t="s">
        <v>361</v>
      </c>
      <c r="E203" s="125">
        <v>11037</v>
      </c>
      <c r="F203" s="21">
        <v>1056.4000000000001</v>
      </c>
      <c r="G203" s="119"/>
      <c r="H203" s="21">
        <f t="shared" si="2"/>
        <v>-54963.669999999904</v>
      </c>
    </row>
    <row r="204" spans="2:8">
      <c r="B204" s="19">
        <v>45803</v>
      </c>
      <c r="C204" s="20" t="s">
        <v>229</v>
      </c>
      <c r="D204" s="125" t="s">
        <v>367</v>
      </c>
      <c r="E204" s="125">
        <v>11041</v>
      </c>
      <c r="F204" s="21">
        <v>1311.09</v>
      </c>
      <c r="G204" s="119"/>
      <c r="H204" s="21">
        <f t="shared" si="2"/>
        <v>-53652.579999999907</v>
      </c>
    </row>
    <row r="205" spans="2:8">
      <c r="B205" s="19">
        <v>45803</v>
      </c>
      <c r="C205" s="20" t="s">
        <v>121</v>
      </c>
      <c r="D205" s="125" t="s">
        <v>368</v>
      </c>
      <c r="E205" s="125">
        <v>11042</v>
      </c>
      <c r="F205" s="21">
        <v>4509.2</v>
      </c>
      <c r="G205" s="119"/>
      <c r="H205" s="21">
        <f t="shared" si="2"/>
        <v>-49143.37999999991</v>
      </c>
    </row>
    <row r="206" spans="2:8">
      <c r="B206" s="19">
        <v>45804</v>
      </c>
      <c r="C206" s="20" t="s">
        <v>77</v>
      </c>
      <c r="D206" s="125" t="s">
        <v>507</v>
      </c>
      <c r="E206" s="125"/>
      <c r="F206" s="21"/>
      <c r="G206" s="119">
        <v>-40.700000000000003</v>
      </c>
      <c r="H206" s="21">
        <f t="shared" ref="H206:H269" si="3">+H205+F206+G206</f>
        <v>-49184.079999999907</v>
      </c>
    </row>
    <row r="207" spans="2:8">
      <c r="B207" s="19">
        <v>45804</v>
      </c>
      <c r="C207" s="20" t="s">
        <v>77</v>
      </c>
      <c r="D207" s="125" t="s">
        <v>422</v>
      </c>
      <c r="E207" s="125"/>
      <c r="F207" s="21"/>
      <c r="G207" s="119">
        <v>-25.94</v>
      </c>
      <c r="H207" s="21">
        <f t="shared" si="3"/>
        <v>-49210.019999999909</v>
      </c>
    </row>
    <row r="208" spans="2:8">
      <c r="B208" s="19">
        <v>45804</v>
      </c>
      <c r="C208" s="20" t="s">
        <v>73</v>
      </c>
      <c r="D208" s="125" t="s">
        <v>515</v>
      </c>
      <c r="E208" s="125"/>
      <c r="F208" s="21"/>
      <c r="G208" s="119">
        <v>-21.56</v>
      </c>
      <c r="H208" s="21">
        <f t="shared" si="3"/>
        <v>-49231.579999999907</v>
      </c>
    </row>
    <row r="209" spans="2:8">
      <c r="B209" s="19">
        <v>45804</v>
      </c>
      <c r="C209" s="20" t="s">
        <v>75</v>
      </c>
      <c r="D209" s="125" t="s">
        <v>479</v>
      </c>
      <c r="E209" s="125"/>
      <c r="F209" s="21"/>
      <c r="G209" s="119">
        <v>-8.08</v>
      </c>
      <c r="H209" s="21">
        <f t="shared" si="3"/>
        <v>-49239.659999999909</v>
      </c>
    </row>
    <row r="210" spans="2:8">
      <c r="B210" s="19">
        <v>45804</v>
      </c>
      <c r="C210" s="20" t="s">
        <v>234</v>
      </c>
      <c r="D210" s="125" t="s">
        <v>380</v>
      </c>
      <c r="E210" s="125">
        <v>11061</v>
      </c>
      <c r="F210" s="21">
        <v>750</v>
      </c>
      <c r="G210" s="119"/>
      <c r="H210" s="21">
        <f t="shared" si="3"/>
        <v>-48489.659999999909</v>
      </c>
    </row>
    <row r="211" spans="2:8">
      <c r="B211" s="19">
        <v>45804</v>
      </c>
      <c r="C211" s="20" t="s">
        <v>84</v>
      </c>
      <c r="D211" s="125" t="s">
        <v>370</v>
      </c>
      <c r="E211" s="125">
        <v>11047</v>
      </c>
      <c r="F211" s="21">
        <v>948</v>
      </c>
      <c r="G211" s="119"/>
      <c r="H211" s="21">
        <f t="shared" si="3"/>
        <v>-47541.659999999909</v>
      </c>
    </row>
    <row r="212" spans="2:8">
      <c r="B212" s="19">
        <v>45804</v>
      </c>
      <c r="C212" s="20" t="s">
        <v>120</v>
      </c>
      <c r="D212" s="125" t="s">
        <v>159</v>
      </c>
      <c r="E212" s="125">
        <v>11050</v>
      </c>
      <c r="F212" s="21">
        <v>1028.22</v>
      </c>
      <c r="G212" s="119"/>
      <c r="H212" s="21">
        <f t="shared" si="3"/>
        <v>-46513.439999999908</v>
      </c>
    </row>
    <row r="213" spans="2:8">
      <c r="B213" s="19">
        <v>45804</v>
      </c>
      <c r="C213" s="20" t="s">
        <v>120</v>
      </c>
      <c r="D213" s="125" t="s">
        <v>373</v>
      </c>
      <c r="E213" s="125">
        <v>11050</v>
      </c>
      <c r="F213" s="21">
        <v>1227.99</v>
      </c>
      <c r="G213" s="119"/>
      <c r="H213" s="21">
        <f t="shared" si="3"/>
        <v>-45285.44999999991</v>
      </c>
    </row>
    <row r="214" spans="2:8">
      <c r="B214" s="19">
        <v>45804</v>
      </c>
      <c r="C214" s="20" t="s">
        <v>235</v>
      </c>
      <c r="D214" s="125" t="s">
        <v>381</v>
      </c>
      <c r="E214" s="125">
        <v>11062</v>
      </c>
      <c r="F214" s="21">
        <v>1308.78</v>
      </c>
      <c r="G214" s="119"/>
      <c r="H214" s="21">
        <f t="shared" si="3"/>
        <v>-43976.669999999911</v>
      </c>
    </row>
    <row r="215" spans="2:8">
      <c r="B215" s="19">
        <v>45804</v>
      </c>
      <c r="C215" s="20" t="s">
        <v>84</v>
      </c>
      <c r="D215" s="125" t="s">
        <v>162</v>
      </c>
      <c r="E215" s="125">
        <v>11047</v>
      </c>
      <c r="F215" s="21">
        <v>1308.8599999999999</v>
      </c>
      <c r="G215" s="119"/>
      <c r="H215" s="21">
        <f t="shared" si="3"/>
        <v>-42667.80999999991</v>
      </c>
    </row>
    <row r="216" spans="2:8">
      <c r="B216" s="19">
        <v>45804</v>
      </c>
      <c r="C216" s="20" t="s">
        <v>93</v>
      </c>
      <c r="D216" s="125" t="s">
        <v>369</v>
      </c>
      <c r="E216" s="125">
        <v>11046</v>
      </c>
      <c r="F216" s="21">
        <v>1546.74</v>
      </c>
      <c r="G216" s="119"/>
      <c r="H216" s="21">
        <f t="shared" si="3"/>
        <v>-41121.069999999912</v>
      </c>
    </row>
    <row r="217" spans="2:8">
      <c r="B217" s="19">
        <v>45804</v>
      </c>
      <c r="C217" s="20" t="s">
        <v>64</v>
      </c>
      <c r="D217" s="125" t="s">
        <v>379</v>
      </c>
      <c r="E217" s="125">
        <v>11060</v>
      </c>
      <c r="F217" s="21">
        <v>1743.06</v>
      </c>
      <c r="G217" s="119"/>
      <c r="H217" s="21">
        <f t="shared" si="3"/>
        <v>-39378.009999999915</v>
      </c>
    </row>
    <row r="218" spans="2:8">
      <c r="B218" s="19">
        <v>45804</v>
      </c>
      <c r="C218" s="20" t="s">
        <v>231</v>
      </c>
      <c r="D218" s="125" t="s">
        <v>372</v>
      </c>
      <c r="E218" s="125">
        <v>11049</v>
      </c>
      <c r="F218" s="21">
        <v>1872.02</v>
      </c>
      <c r="G218" s="119"/>
      <c r="H218" s="21">
        <f t="shared" si="3"/>
        <v>-37505.989999999918</v>
      </c>
    </row>
    <row r="219" spans="2:8">
      <c r="B219" s="19">
        <v>45804</v>
      </c>
      <c r="C219" s="20" t="s">
        <v>92</v>
      </c>
      <c r="D219" s="125" t="s">
        <v>376</v>
      </c>
      <c r="E219" s="125">
        <v>11057</v>
      </c>
      <c r="F219" s="21">
        <v>2271.2600000000002</v>
      </c>
      <c r="G219" s="119"/>
      <c r="H219" s="21">
        <f t="shared" si="3"/>
        <v>-35234.729999999916</v>
      </c>
    </row>
    <row r="220" spans="2:8">
      <c r="B220" s="19">
        <v>45804</v>
      </c>
      <c r="C220" s="20" t="s">
        <v>94</v>
      </c>
      <c r="D220" s="125" t="s">
        <v>382</v>
      </c>
      <c r="E220" s="125">
        <v>11063</v>
      </c>
      <c r="F220" s="21">
        <v>2271.2600000000002</v>
      </c>
      <c r="G220" s="119"/>
      <c r="H220" s="21">
        <f t="shared" si="3"/>
        <v>-32963.469999999914</v>
      </c>
    </row>
    <row r="221" spans="2:8">
      <c r="B221" s="19">
        <v>45804</v>
      </c>
      <c r="C221" s="20" t="s">
        <v>87</v>
      </c>
      <c r="D221" s="125" t="s">
        <v>377</v>
      </c>
      <c r="E221" s="125">
        <v>11058</v>
      </c>
      <c r="F221" s="21">
        <v>2291.2600000000002</v>
      </c>
      <c r="G221" s="119"/>
      <c r="H221" s="21">
        <f t="shared" si="3"/>
        <v>-30672.209999999912</v>
      </c>
    </row>
    <row r="222" spans="2:8">
      <c r="B222" s="19">
        <v>45804</v>
      </c>
      <c r="C222" s="20" t="s">
        <v>233</v>
      </c>
      <c r="D222" s="125" t="s">
        <v>378</v>
      </c>
      <c r="E222" s="125">
        <v>11059</v>
      </c>
      <c r="F222" s="21">
        <v>2364.0500000000002</v>
      </c>
      <c r="G222" s="119"/>
      <c r="H222" s="21">
        <f t="shared" si="3"/>
        <v>-28308.159999999913</v>
      </c>
    </row>
    <row r="223" spans="2:8">
      <c r="B223" s="19">
        <v>45804</v>
      </c>
      <c r="C223" s="20" t="s">
        <v>236</v>
      </c>
      <c r="D223" s="125" t="s">
        <v>383</v>
      </c>
      <c r="E223" s="125">
        <v>11064</v>
      </c>
      <c r="F223" s="21">
        <v>2631.9</v>
      </c>
      <c r="G223" s="119"/>
      <c r="H223" s="21">
        <f t="shared" si="3"/>
        <v>-25676.259999999911</v>
      </c>
    </row>
    <row r="224" spans="2:8">
      <c r="B224" s="19">
        <v>45804</v>
      </c>
      <c r="C224" s="20" t="s">
        <v>232</v>
      </c>
      <c r="D224" s="125" t="s">
        <v>375</v>
      </c>
      <c r="E224" s="125">
        <v>11056</v>
      </c>
      <c r="F224" s="21">
        <v>6813.74</v>
      </c>
      <c r="G224" s="119"/>
      <c r="H224" s="21">
        <f t="shared" si="3"/>
        <v>-18862.519999999909</v>
      </c>
    </row>
    <row r="225" spans="2:8">
      <c r="B225" s="19">
        <v>45804</v>
      </c>
      <c r="C225" s="20" t="s">
        <v>230</v>
      </c>
      <c r="D225" s="125" t="s">
        <v>371</v>
      </c>
      <c r="E225" s="125">
        <v>11048</v>
      </c>
      <c r="F225" s="21">
        <v>8030.76</v>
      </c>
      <c r="G225" s="119"/>
      <c r="H225" s="21">
        <f t="shared" si="3"/>
        <v>-10831.759999999909</v>
      </c>
    </row>
    <row r="226" spans="2:8">
      <c r="B226" s="19">
        <v>45804</v>
      </c>
      <c r="C226" s="20" t="s">
        <v>114</v>
      </c>
      <c r="D226" s="125" t="s">
        <v>374</v>
      </c>
      <c r="E226" s="125">
        <v>11055</v>
      </c>
      <c r="F226" s="21">
        <v>9658.18</v>
      </c>
      <c r="G226" s="119"/>
      <c r="H226" s="21">
        <f t="shared" si="3"/>
        <v>-1173.579999999909</v>
      </c>
    </row>
    <row r="227" spans="2:8">
      <c r="B227" s="19">
        <v>45805</v>
      </c>
      <c r="C227" s="20" t="s">
        <v>77</v>
      </c>
      <c r="D227" s="125" t="s">
        <v>495</v>
      </c>
      <c r="E227" s="125"/>
      <c r="F227" s="21"/>
      <c r="G227" s="119">
        <v>-193.8</v>
      </c>
      <c r="H227" s="21">
        <f t="shared" si="3"/>
        <v>-1367.3799999999089</v>
      </c>
    </row>
    <row r="228" spans="2:8">
      <c r="B228" s="19">
        <v>45805</v>
      </c>
      <c r="C228" s="20" t="s">
        <v>73</v>
      </c>
      <c r="D228" s="125" t="s">
        <v>502</v>
      </c>
      <c r="E228" s="125"/>
      <c r="F228" s="21"/>
      <c r="G228" s="119">
        <v>-45.43</v>
      </c>
      <c r="H228" s="21">
        <f t="shared" si="3"/>
        <v>-1412.809999999909</v>
      </c>
    </row>
    <row r="229" spans="2:8">
      <c r="B229" s="19">
        <v>45805</v>
      </c>
      <c r="C229" s="20" t="s">
        <v>73</v>
      </c>
      <c r="D229" s="125" t="s">
        <v>509</v>
      </c>
      <c r="E229" s="125"/>
      <c r="F229" s="21"/>
      <c r="G229" s="119">
        <v>-40.28</v>
      </c>
      <c r="H229" s="21">
        <f t="shared" si="3"/>
        <v>-1453.089999999909</v>
      </c>
    </row>
    <row r="230" spans="2:8">
      <c r="B230" s="19">
        <v>45805</v>
      </c>
      <c r="C230" s="20" t="s">
        <v>75</v>
      </c>
      <c r="D230" s="125" t="s">
        <v>519</v>
      </c>
      <c r="E230" s="125"/>
      <c r="F230" s="21"/>
      <c r="G230" s="119">
        <v>-18.600000000000001</v>
      </c>
      <c r="H230" s="21">
        <f t="shared" si="3"/>
        <v>-1471.6899999999089</v>
      </c>
    </row>
    <row r="231" spans="2:8">
      <c r="B231" s="19">
        <v>45805</v>
      </c>
      <c r="C231" s="20" t="s">
        <v>75</v>
      </c>
      <c r="D231" s="125" t="s">
        <v>483</v>
      </c>
      <c r="E231" s="125"/>
      <c r="F231" s="21"/>
      <c r="G231" s="119">
        <v>-16.170000000000002</v>
      </c>
      <c r="H231" s="21">
        <f t="shared" si="3"/>
        <v>-1487.859999999909</v>
      </c>
    </row>
    <row r="232" spans="2:8">
      <c r="B232" s="19">
        <v>45805</v>
      </c>
      <c r="C232" s="20" t="s">
        <v>75</v>
      </c>
      <c r="D232" s="125" t="s">
        <v>482</v>
      </c>
      <c r="E232" s="125"/>
      <c r="F232" s="21"/>
      <c r="G232" s="119">
        <v>-8.1</v>
      </c>
      <c r="H232" s="21">
        <f t="shared" si="3"/>
        <v>-1495.9599999999089</v>
      </c>
    </row>
    <row r="233" spans="2:8">
      <c r="B233" s="19">
        <v>45805</v>
      </c>
      <c r="C233" s="20" t="s">
        <v>75</v>
      </c>
      <c r="D233" s="125" t="s">
        <v>480</v>
      </c>
      <c r="E233" s="125"/>
      <c r="F233" s="21"/>
      <c r="G233" s="119">
        <v>-8.08</v>
      </c>
      <c r="H233" s="21">
        <f t="shared" si="3"/>
        <v>-1504.0399999999088</v>
      </c>
    </row>
    <row r="234" spans="2:8">
      <c r="B234" s="19">
        <v>45805</v>
      </c>
      <c r="C234" s="20" t="s">
        <v>68</v>
      </c>
      <c r="D234" s="125" t="s">
        <v>129</v>
      </c>
      <c r="E234" s="125">
        <v>11073</v>
      </c>
      <c r="F234" s="21">
        <v>529.52</v>
      </c>
      <c r="G234" s="119"/>
      <c r="H234" s="21">
        <f t="shared" si="3"/>
        <v>-974.5199999999088</v>
      </c>
    </row>
    <row r="235" spans="2:8">
      <c r="B235" s="19">
        <v>45805</v>
      </c>
      <c r="C235" s="20" t="s">
        <v>88</v>
      </c>
      <c r="D235" s="125" t="s">
        <v>394</v>
      </c>
      <c r="E235" s="125">
        <v>11076</v>
      </c>
      <c r="F235" s="21">
        <v>1522.35</v>
      </c>
      <c r="G235" s="119"/>
      <c r="H235" s="21">
        <f t="shared" si="3"/>
        <v>547.8300000000911</v>
      </c>
    </row>
    <row r="236" spans="2:8">
      <c r="B236" s="19">
        <v>45805</v>
      </c>
      <c r="C236" s="20" t="s">
        <v>71</v>
      </c>
      <c r="D236" s="125" t="s">
        <v>395</v>
      </c>
      <c r="E236" s="125">
        <v>11077</v>
      </c>
      <c r="F236" s="21">
        <v>1737.45</v>
      </c>
      <c r="G236" s="119"/>
      <c r="H236" s="21">
        <f t="shared" si="3"/>
        <v>2285.2800000000911</v>
      </c>
    </row>
    <row r="237" spans="2:8">
      <c r="B237" s="19">
        <v>45805</v>
      </c>
      <c r="C237" s="20" t="s">
        <v>241</v>
      </c>
      <c r="D237" s="125" t="s">
        <v>403</v>
      </c>
      <c r="E237" s="125">
        <v>11085</v>
      </c>
      <c r="F237" s="21">
        <v>1759.07</v>
      </c>
      <c r="G237" s="119"/>
      <c r="H237" s="21">
        <f t="shared" si="3"/>
        <v>4044.3500000000913</v>
      </c>
    </row>
    <row r="238" spans="2:8">
      <c r="B238" s="19">
        <v>45805</v>
      </c>
      <c r="C238" s="20" t="s">
        <v>70</v>
      </c>
      <c r="D238" s="125" t="s">
        <v>144</v>
      </c>
      <c r="E238" s="125">
        <v>11088</v>
      </c>
      <c r="F238" s="21">
        <v>1855.66</v>
      </c>
      <c r="G238" s="119"/>
      <c r="H238" s="21">
        <f t="shared" si="3"/>
        <v>5900.0100000000912</v>
      </c>
    </row>
    <row r="239" spans="2:8">
      <c r="B239" s="19">
        <v>45805</v>
      </c>
      <c r="C239" s="20" t="s">
        <v>85</v>
      </c>
      <c r="D239" s="125" t="s">
        <v>406</v>
      </c>
      <c r="E239" s="125">
        <v>11089</v>
      </c>
      <c r="F239" s="21">
        <v>2165.65</v>
      </c>
      <c r="G239" s="119"/>
      <c r="H239" s="21">
        <f t="shared" si="3"/>
        <v>8065.6600000000908</v>
      </c>
    </row>
    <row r="240" spans="2:8">
      <c r="B240" s="19">
        <v>45805</v>
      </c>
      <c r="C240" s="20" t="s">
        <v>90</v>
      </c>
      <c r="D240" s="125" t="s">
        <v>385</v>
      </c>
      <c r="E240" s="125">
        <v>11066</v>
      </c>
      <c r="F240" s="21">
        <v>2253</v>
      </c>
      <c r="G240" s="119"/>
      <c r="H240" s="21">
        <f t="shared" si="3"/>
        <v>10318.660000000091</v>
      </c>
    </row>
    <row r="241" spans="2:8">
      <c r="B241" s="19">
        <v>45805</v>
      </c>
      <c r="C241" s="20" t="s">
        <v>91</v>
      </c>
      <c r="D241" s="125" t="s">
        <v>396</v>
      </c>
      <c r="E241" s="125">
        <v>11078</v>
      </c>
      <c r="F241" s="21">
        <v>2253.1999999999998</v>
      </c>
      <c r="G241" s="119"/>
      <c r="H241" s="21">
        <f t="shared" si="3"/>
        <v>12571.860000000092</v>
      </c>
    </row>
    <row r="242" spans="2:8">
      <c r="B242" s="19">
        <v>45805</v>
      </c>
      <c r="C242" s="20" t="s">
        <v>96</v>
      </c>
      <c r="D242" s="125" t="s">
        <v>409</v>
      </c>
      <c r="E242" s="125">
        <v>11092</v>
      </c>
      <c r="F242" s="21">
        <v>2253.1999999999998</v>
      </c>
      <c r="G242" s="119"/>
      <c r="H242" s="21">
        <f t="shared" si="3"/>
        <v>14825.060000000092</v>
      </c>
    </row>
    <row r="243" spans="2:8">
      <c r="B243" s="19">
        <v>45805</v>
      </c>
      <c r="C243" s="20" t="s">
        <v>98</v>
      </c>
      <c r="D243" s="125" t="s">
        <v>400</v>
      </c>
      <c r="E243" s="125">
        <v>11082</v>
      </c>
      <c r="F243" s="21">
        <v>2253.1999999999998</v>
      </c>
      <c r="G243" s="119"/>
      <c r="H243" s="21">
        <f t="shared" si="3"/>
        <v>17078.260000000093</v>
      </c>
    </row>
    <row r="244" spans="2:8">
      <c r="B244" s="19">
        <v>45805</v>
      </c>
      <c r="C244" s="20" t="s">
        <v>98</v>
      </c>
      <c r="D244" s="125" t="s">
        <v>401</v>
      </c>
      <c r="E244" s="125">
        <v>11083</v>
      </c>
      <c r="F244" s="21">
        <v>2253.1999999999998</v>
      </c>
      <c r="G244" s="119"/>
      <c r="H244" s="21">
        <f t="shared" si="3"/>
        <v>19331.460000000094</v>
      </c>
    </row>
    <row r="245" spans="2:8">
      <c r="B245" s="19">
        <v>45805</v>
      </c>
      <c r="C245" s="20" t="s">
        <v>98</v>
      </c>
      <c r="D245" s="125" t="s">
        <v>402</v>
      </c>
      <c r="E245" s="125">
        <v>11084</v>
      </c>
      <c r="F245" s="21">
        <v>2253.1999999999998</v>
      </c>
      <c r="G245" s="119"/>
      <c r="H245" s="21">
        <f t="shared" si="3"/>
        <v>21584.660000000094</v>
      </c>
    </row>
    <row r="246" spans="2:8">
      <c r="B246" s="19">
        <v>45805</v>
      </c>
      <c r="C246" s="20" t="s">
        <v>98</v>
      </c>
      <c r="D246" s="125" t="s">
        <v>408</v>
      </c>
      <c r="E246" s="125">
        <v>11091</v>
      </c>
      <c r="F246" s="21">
        <v>2253.1999999999998</v>
      </c>
      <c r="G246" s="119"/>
      <c r="H246" s="21">
        <f t="shared" si="3"/>
        <v>23837.860000000095</v>
      </c>
    </row>
    <row r="247" spans="2:8">
      <c r="B247" s="19">
        <v>45805</v>
      </c>
      <c r="C247" s="20" t="s">
        <v>237</v>
      </c>
      <c r="D247" s="125" t="s">
        <v>387</v>
      </c>
      <c r="E247" s="125">
        <v>11068</v>
      </c>
      <c r="F247" s="21">
        <v>2271.2600000000002</v>
      </c>
      <c r="G247" s="119"/>
      <c r="H247" s="21">
        <f t="shared" si="3"/>
        <v>26109.120000000097</v>
      </c>
    </row>
    <row r="248" spans="2:8">
      <c r="B248" s="19">
        <v>45805</v>
      </c>
      <c r="C248" s="20" t="s">
        <v>84</v>
      </c>
      <c r="D248" s="125" t="s">
        <v>386</v>
      </c>
      <c r="E248" s="125">
        <v>11067</v>
      </c>
      <c r="F248" s="21">
        <v>2272</v>
      </c>
      <c r="G248" s="119"/>
      <c r="H248" s="21">
        <f t="shared" si="3"/>
        <v>28381.120000000097</v>
      </c>
    </row>
    <row r="249" spans="2:8">
      <c r="B249" s="19">
        <v>45805</v>
      </c>
      <c r="C249" s="20" t="s">
        <v>216</v>
      </c>
      <c r="D249" s="125" t="s">
        <v>397</v>
      </c>
      <c r="E249" s="125">
        <v>11079</v>
      </c>
      <c r="F249" s="21">
        <v>2726.93</v>
      </c>
      <c r="G249" s="119"/>
      <c r="H249" s="21">
        <f t="shared" si="3"/>
        <v>31108.050000000097</v>
      </c>
    </row>
    <row r="250" spans="2:8">
      <c r="B250" s="19">
        <v>45805</v>
      </c>
      <c r="C250" s="20" t="s">
        <v>1</v>
      </c>
      <c r="D250" s="125" t="s">
        <v>405</v>
      </c>
      <c r="E250" s="125">
        <v>11087</v>
      </c>
      <c r="F250" s="21">
        <v>2780</v>
      </c>
      <c r="G250" s="119"/>
      <c r="H250" s="21">
        <f t="shared" si="3"/>
        <v>33888.050000000097</v>
      </c>
    </row>
    <row r="251" spans="2:8">
      <c r="B251" s="19">
        <v>45805</v>
      </c>
      <c r="C251" s="20" t="s">
        <v>93</v>
      </c>
      <c r="D251" s="125" t="s">
        <v>384</v>
      </c>
      <c r="E251" s="125">
        <v>11065</v>
      </c>
      <c r="F251" s="21">
        <v>2799.46</v>
      </c>
      <c r="G251" s="119"/>
      <c r="H251" s="21">
        <f t="shared" si="3"/>
        <v>36687.510000000097</v>
      </c>
    </row>
    <row r="252" spans="2:8">
      <c r="B252" s="19">
        <v>45805</v>
      </c>
      <c r="C252" s="20" t="s">
        <v>120</v>
      </c>
      <c r="D252" s="125" t="s">
        <v>392</v>
      </c>
      <c r="E252" s="125">
        <v>11074</v>
      </c>
      <c r="F252" s="21">
        <v>3585.64</v>
      </c>
      <c r="G252" s="119"/>
      <c r="H252" s="21">
        <f t="shared" si="3"/>
        <v>40273.150000000096</v>
      </c>
    </row>
    <row r="253" spans="2:8">
      <c r="B253" s="19">
        <v>45805</v>
      </c>
      <c r="C253" s="20" t="s">
        <v>241</v>
      </c>
      <c r="D253" s="125" t="s">
        <v>404</v>
      </c>
      <c r="E253" s="125">
        <v>11086</v>
      </c>
      <c r="F253" s="21">
        <v>3745.9</v>
      </c>
      <c r="G253" s="119"/>
      <c r="H253" s="21">
        <f t="shared" si="3"/>
        <v>44019.050000000097</v>
      </c>
    </row>
    <row r="254" spans="2:8">
      <c r="B254" s="19">
        <v>45805</v>
      </c>
      <c r="C254" s="20" t="s">
        <v>86</v>
      </c>
      <c r="D254" s="125" t="s">
        <v>407</v>
      </c>
      <c r="E254" s="125">
        <v>11090</v>
      </c>
      <c r="F254" s="21">
        <v>3782.53</v>
      </c>
      <c r="G254" s="119"/>
      <c r="H254" s="21">
        <f t="shared" si="3"/>
        <v>47801.580000000096</v>
      </c>
    </row>
    <row r="255" spans="2:8">
      <c r="B255" s="19">
        <v>45805</v>
      </c>
      <c r="C255" s="20" t="s">
        <v>83</v>
      </c>
      <c r="D255" s="125" t="s">
        <v>399</v>
      </c>
      <c r="E255" s="125">
        <v>11081</v>
      </c>
      <c r="F255" s="21">
        <v>4380.57</v>
      </c>
      <c r="G255" s="119"/>
      <c r="H255" s="21">
        <f t="shared" si="3"/>
        <v>52182.150000000096</v>
      </c>
    </row>
    <row r="256" spans="2:8">
      <c r="B256" s="19">
        <v>45805</v>
      </c>
      <c r="C256" s="20" t="s">
        <v>120</v>
      </c>
      <c r="D256" s="125" t="s">
        <v>388</v>
      </c>
      <c r="E256" s="125">
        <v>11069</v>
      </c>
      <c r="F256" s="21">
        <v>4873.24</v>
      </c>
      <c r="G256" s="119"/>
      <c r="H256" s="21">
        <f t="shared" si="3"/>
        <v>57055.390000000094</v>
      </c>
    </row>
    <row r="257" spans="2:9">
      <c r="B257" s="19">
        <v>45805</v>
      </c>
      <c r="C257" s="20" t="s">
        <v>240</v>
      </c>
      <c r="D257" s="125" t="s">
        <v>393</v>
      </c>
      <c r="E257" s="125">
        <v>11075</v>
      </c>
      <c r="F257" s="21">
        <v>8557</v>
      </c>
      <c r="G257" s="119"/>
      <c r="H257" s="21">
        <f t="shared" si="3"/>
        <v>65612.390000000101</v>
      </c>
    </row>
    <row r="258" spans="2:9">
      <c r="B258" s="19">
        <v>45805</v>
      </c>
      <c r="C258" s="20" t="s">
        <v>83</v>
      </c>
      <c r="D258" s="125" t="s">
        <v>398</v>
      </c>
      <c r="E258" s="125">
        <v>11080</v>
      </c>
      <c r="F258" s="21">
        <v>9276.98</v>
      </c>
      <c r="G258" s="119"/>
      <c r="H258" s="21">
        <f t="shared" si="3"/>
        <v>74889.370000000097</v>
      </c>
    </row>
    <row r="259" spans="2:9">
      <c r="B259" s="19">
        <v>45805</v>
      </c>
      <c r="C259" s="20" t="s">
        <v>239</v>
      </c>
      <c r="D259" s="125" t="s">
        <v>390</v>
      </c>
      <c r="E259" s="125">
        <v>11071</v>
      </c>
      <c r="F259" s="21">
        <v>16410.439999999999</v>
      </c>
      <c r="G259" s="119"/>
      <c r="H259" s="21">
        <f t="shared" si="3"/>
        <v>91299.8100000001</v>
      </c>
    </row>
    <row r="260" spans="2:9">
      <c r="B260" s="19">
        <v>45805</v>
      </c>
      <c r="C260" s="20" t="s">
        <v>239</v>
      </c>
      <c r="D260" s="125" t="s">
        <v>391</v>
      </c>
      <c r="E260" s="125">
        <v>11072</v>
      </c>
      <c r="F260" s="21">
        <v>18447.12</v>
      </c>
      <c r="G260" s="119"/>
      <c r="H260" s="21">
        <f t="shared" si="3"/>
        <v>109746.93000000009</v>
      </c>
    </row>
    <row r="261" spans="2:9">
      <c r="B261" s="19">
        <v>45805</v>
      </c>
      <c r="C261" s="20" t="s">
        <v>238</v>
      </c>
      <c r="D261" s="125" t="s">
        <v>389</v>
      </c>
      <c r="E261" s="125">
        <v>11070</v>
      </c>
      <c r="F261" s="21">
        <v>20395.330000000002</v>
      </c>
      <c r="G261" s="119"/>
      <c r="H261" s="21">
        <f t="shared" si="3"/>
        <v>130142.2600000001</v>
      </c>
    </row>
    <row r="262" spans="2:9">
      <c r="B262" s="19">
        <v>45806</v>
      </c>
      <c r="C262" s="20" t="s">
        <v>73</v>
      </c>
      <c r="D262" s="125" t="s">
        <v>491</v>
      </c>
      <c r="E262" s="125"/>
      <c r="F262" s="21"/>
      <c r="G262" s="119">
        <v>-782.23</v>
      </c>
      <c r="H262" s="21">
        <f t="shared" si="3"/>
        <v>129360.0300000001</v>
      </c>
    </row>
    <row r="263" spans="2:9">
      <c r="B263" s="19">
        <v>45806</v>
      </c>
      <c r="C263" s="20" t="s">
        <v>73</v>
      </c>
      <c r="D263" s="125" t="s">
        <v>501</v>
      </c>
      <c r="E263" s="125"/>
      <c r="F263" s="21"/>
      <c r="G263" s="119">
        <v>-64.209999999999994</v>
      </c>
      <c r="H263" s="21">
        <f t="shared" si="3"/>
        <v>129295.82000000009</v>
      </c>
    </row>
    <row r="264" spans="2:9">
      <c r="B264" s="19">
        <v>45806</v>
      </c>
      <c r="C264" s="20" t="s">
        <v>75</v>
      </c>
      <c r="D264" s="125" t="s">
        <v>484</v>
      </c>
      <c r="E264" s="125"/>
      <c r="F264" s="21"/>
      <c r="G264" s="119">
        <v>-19.399999999999999</v>
      </c>
      <c r="H264" s="21">
        <f t="shared" si="3"/>
        <v>129276.4200000001</v>
      </c>
      <c r="I264" s="22"/>
    </row>
    <row r="265" spans="2:9">
      <c r="B265" s="19">
        <v>45806</v>
      </c>
      <c r="C265" s="20" t="s">
        <v>245</v>
      </c>
      <c r="D265" s="125" t="s">
        <v>418</v>
      </c>
      <c r="E265" s="125">
        <v>11107</v>
      </c>
      <c r="F265" s="21">
        <v>650</v>
      </c>
      <c r="G265" s="119"/>
      <c r="H265" s="21">
        <f t="shared" si="3"/>
        <v>129926.4200000001</v>
      </c>
    </row>
    <row r="266" spans="2:9">
      <c r="B266" s="19">
        <v>45806</v>
      </c>
      <c r="C266" s="20" t="s">
        <v>226</v>
      </c>
      <c r="D266" s="125" t="s">
        <v>419</v>
      </c>
      <c r="E266" s="125">
        <v>11107</v>
      </c>
      <c r="F266" s="21">
        <v>900</v>
      </c>
      <c r="G266" s="119"/>
      <c r="H266" s="21">
        <f t="shared" si="3"/>
        <v>130826.4200000001</v>
      </c>
    </row>
    <row r="267" spans="2:9">
      <c r="B267" s="19">
        <v>45806</v>
      </c>
      <c r="C267" s="20" t="s">
        <v>226</v>
      </c>
      <c r="D267" s="125" t="s">
        <v>420</v>
      </c>
      <c r="E267" s="125">
        <v>11107</v>
      </c>
      <c r="F267" s="21">
        <v>1000</v>
      </c>
      <c r="G267" s="119"/>
      <c r="H267" s="21">
        <f t="shared" si="3"/>
        <v>131826.4200000001</v>
      </c>
    </row>
    <row r="268" spans="2:9">
      <c r="B268" s="19">
        <v>45806</v>
      </c>
      <c r="C268" s="20" t="s">
        <v>106</v>
      </c>
      <c r="D268" s="125" t="s">
        <v>422</v>
      </c>
      <c r="E268" s="125">
        <v>11108</v>
      </c>
      <c r="F268" s="21">
        <v>1729.2</v>
      </c>
      <c r="G268" s="119"/>
      <c r="H268" s="21">
        <f t="shared" si="3"/>
        <v>133555.62000000011</v>
      </c>
    </row>
    <row r="269" spans="2:9">
      <c r="B269" s="19">
        <v>45806</v>
      </c>
      <c r="C269" s="20" t="s">
        <v>226</v>
      </c>
      <c r="D269" s="125" t="s">
        <v>421</v>
      </c>
      <c r="E269" s="125">
        <v>11107</v>
      </c>
      <c r="F269" s="21">
        <v>2000</v>
      </c>
      <c r="G269" s="119"/>
      <c r="H269" s="21">
        <f t="shared" si="3"/>
        <v>135555.62000000011</v>
      </c>
    </row>
    <row r="270" spans="2:9">
      <c r="B270" s="19">
        <v>45806</v>
      </c>
      <c r="C270" s="20" t="s">
        <v>66</v>
      </c>
      <c r="D270" s="125" t="s">
        <v>416</v>
      </c>
      <c r="E270" s="125">
        <v>11104</v>
      </c>
      <c r="F270" s="21">
        <v>2059.98</v>
      </c>
      <c r="G270" s="119"/>
      <c r="H270" s="21">
        <f t="shared" ref="H270:H333" si="4">+H269+F270+G270</f>
        <v>137615.60000000012</v>
      </c>
    </row>
    <row r="271" spans="2:9">
      <c r="B271" s="19">
        <v>45806</v>
      </c>
      <c r="C271" s="20" t="s">
        <v>102</v>
      </c>
      <c r="D271" s="125" t="s">
        <v>410</v>
      </c>
      <c r="E271" s="125">
        <v>11093</v>
      </c>
      <c r="F271" s="21">
        <v>4634.96</v>
      </c>
      <c r="G271" s="119"/>
      <c r="H271" s="21">
        <f t="shared" si="4"/>
        <v>142250.56000000011</v>
      </c>
    </row>
    <row r="272" spans="2:9">
      <c r="B272" s="19">
        <v>45806</v>
      </c>
      <c r="C272" s="20" t="s">
        <v>99</v>
      </c>
      <c r="D272" s="125" t="s">
        <v>415</v>
      </c>
      <c r="E272" s="125">
        <v>11103</v>
      </c>
      <c r="F272" s="21">
        <v>5510.51</v>
      </c>
      <c r="G272" s="119"/>
      <c r="H272" s="21">
        <f t="shared" si="4"/>
        <v>147761.07000000012</v>
      </c>
    </row>
    <row r="273" spans="2:8">
      <c r="B273" s="19">
        <v>45806</v>
      </c>
      <c r="C273" s="20" t="s">
        <v>244</v>
      </c>
      <c r="D273" s="125" t="s">
        <v>417</v>
      </c>
      <c r="E273" s="125">
        <v>11106</v>
      </c>
      <c r="F273" s="21">
        <v>5751.04</v>
      </c>
      <c r="G273" s="119"/>
      <c r="H273" s="21">
        <f t="shared" si="4"/>
        <v>153512.11000000013</v>
      </c>
    </row>
    <row r="274" spans="2:8">
      <c r="B274" s="19">
        <v>45806</v>
      </c>
      <c r="C274" s="20" t="s">
        <v>243</v>
      </c>
      <c r="D274" s="125" t="s">
        <v>414</v>
      </c>
      <c r="E274" s="125">
        <v>11102</v>
      </c>
      <c r="F274" s="21">
        <v>5872.76</v>
      </c>
      <c r="G274" s="119"/>
      <c r="H274" s="21">
        <f t="shared" si="4"/>
        <v>159384.87000000014</v>
      </c>
    </row>
    <row r="275" spans="2:8">
      <c r="B275" s="19">
        <v>45806</v>
      </c>
      <c r="C275" s="20" t="s">
        <v>242</v>
      </c>
      <c r="D275" s="125" t="s">
        <v>413</v>
      </c>
      <c r="E275" s="125">
        <v>11101</v>
      </c>
      <c r="F275" s="21">
        <v>7022.5</v>
      </c>
      <c r="G275" s="119"/>
      <c r="H275" s="21">
        <f t="shared" si="4"/>
        <v>166407.37000000014</v>
      </c>
    </row>
    <row r="276" spans="2:8">
      <c r="B276" s="19">
        <v>45806</v>
      </c>
      <c r="C276" s="20" t="s">
        <v>63</v>
      </c>
      <c r="D276" s="125" t="s">
        <v>412</v>
      </c>
      <c r="E276" s="125">
        <v>11100</v>
      </c>
      <c r="F276" s="21">
        <v>11908.9</v>
      </c>
      <c r="G276" s="119"/>
      <c r="H276" s="21">
        <f t="shared" si="4"/>
        <v>178316.27000000014</v>
      </c>
    </row>
    <row r="277" spans="2:8">
      <c r="B277" s="19">
        <v>45806</v>
      </c>
      <c r="C277" s="20" t="s">
        <v>215</v>
      </c>
      <c r="D277" s="125" t="s">
        <v>411</v>
      </c>
      <c r="E277" s="125">
        <v>11099</v>
      </c>
      <c r="F277" s="21">
        <v>20774</v>
      </c>
      <c r="G277" s="119"/>
      <c r="H277" s="21">
        <f t="shared" si="4"/>
        <v>199090.27000000014</v>
      </c>
    </row>
    <row r="278" spans="2:8">
      <c r="B278" s="19">
        <v>45807</v>
      </c>
      <c r="C278" s="20" t="s">
        <v>75</v>
      </c>
      <c r="D278" s="125" t="s">
        <v>518</v>
      </c>
      <c r="E278" s="125"/>
      <c r="F278" s="21"/>
      <c r="G278" s="119">
        <v>-19.399999999999999</v>
      </c>
      <c r="H278" s="21">
        <f t="shared" si="4"/>
        <v>199070.87000000014</v>
      </c>
    </row>
    <row r="279" spans="2:8">
      <c r="B279" s="19">
        <v>45807</v>
      </c>
      <c r="C279" s="20" t="s">
        <v>73</v>
      </c>
      <c r="D279" s="125" t="s">
        <v>521</v>
      </c>
      <c r="E279" s="125"/>
      <c r="F279" s="21"/>
      <c r="G279" s="119">
        <v>-10.78</v>
      </c>
      <c r="H279" s="21">
        <f t="shared" si="4"/>
        <v>199060.09000000014</v>
      </c>
    </row>
    <row r="280" spans="2:8">
      <c r="B280" s="19">
        <v>45807</v>
      </c>
      <c r="C280" s="20" t="s">
        <v>73</v>
      </c>
      <c r="D280" s="125" t="s">
        <v>522</v>
      </c>
      <c r="E280" s="125"/>
      <c r="F280" s="21"/>
      <c r="G280" s="119">
        <v>-10.78</v>
      </c>
      <c r="H280" s="21">
        <f t="shared" si="4"/>
        <v>199049.31000000014</v>
      </c>
    </row>
    <row r="281" spans="2:8">
      <c r="B281" s="19">
        <v>45807</v>
      </c>
      <c r="C281" s="20" t="s">
        <v>75</v>
      </c>
      <c r="D281" s="125" t="s">
        <v>524</v>
      </c>
      <c r="E281" s="125"/>
      <c r="F281" s="21"/>
      <c r="G281" s="119">
        <v>-8.08</v>
      </c>
      <c r="H281" s="21">
        <f t="shared" si="4"/>
        <v>199041.23000000016</v>
      </c>
    </row>
    <row r="282" spans="2:8">
      <c r="B282" s="19">
        <v>45807</v>
      </c>
      <c r="C282" s="20" t="s">
        <v>75</v>
      </c>
      <c r="D282" s="125" t="s">
        <v>525</v>
      </c>
      <c r="E282" s="125"/>
      <c r="F282" s="21"/>
      <c r="G282" s="119">
        <v>-8.08</v>
      </c>
      <c r="H282" s="21">
        <f t="shared" si="4"/>
        <v>199033.15000000017</v>
      </c>
    </row>
    <row r="283" spans="2:8">
      <c r="B283" s="19">
        <v>45807</v>
      </c>
      <c r="C283" s="20" t="s">
        <v>66</v>
      </c>
      <c r="D283" s="125" t="s">
        <v>474</v>
      </c>
      <c r="E283" s="125">
        <v>11154</v>
      </c>
      <c r="F283" s="21">
        <v>528.20000000000005</v>
      </c>
      <c r="G283" s="119"/>
      <c r="H283" s="21">
        <f t="shared" si="4"/>
        <v>199561.35000000018</v>
      </c>
    </row>
    <row r="284" spans="2:8">
      <c r="B284" s="19">
        <v>45807</v>
      </c>
      <c r="C284" s="20" t="s">
        <v>66</v>
      </c>
      <c r="D284" s="125" t="s">
        <v>476</v>
      </c>
      <c r="E284" s="125">
        <v>11154</v>
      </c>
      <c r="F284" s="21">
        <v>528.20000000000005</v>
      </c>
      <c r="G284" s="119"/>
      <c r="H284" s="21">
        <f t="shared" si="4"/>
        <v>200089.55000000019</v>
      </c>
    </row>
    <row r="285" spans="2:8">
      <c r="B285" s="19">
        <v>45807</v>
      </c>
      <c r="C285" s="20" t="s">
        <v>66</v>
      </c>
      <c r="D285" s="125" t="s">
        <v>477</v>
      </c>
      <c r="E285" s="125">
        <v>11154</v>
      </c>
      <c r="F285" s="21">
        <v>528.20000000000005</v>
      </c>
      <c r="G285" s="119"/>
      <c r="H285" s="21">
        <f t="shared" si="4"/>
        <v>200617.7500000002</v>
      </c>
    </row>
    <row r="286" spans="2:8">
      <c r="B286" s="19">
        <v>45807</v>
      </c>
      <c r="C286" s="20" t="s">
        <v>66</v>
      </c>
      <c r="D286" s="125" t="s">
        <v>478</v>
      </c>
      <c r="E286" s="125">
        <v>11154</v>
      </c>
      <c r="F286" s="21">
        <v>528.20000000000005</v>
      </c>
      <c r="G286" s="119"/>
      <c r="H286" s="21">
        <f t="shared" si="4"/>
        <v>201145.95000000022</v>
      </c>
    </row>
    <row r="287" spans="2:8">
      <c r="B287" s="19">
        <v>45807</v>
      </c>
      <c r="C287" s="20" t="s">
        <v>66</v>
      </c>
      <c r="D287" s="125" t="s">
        <v>486</v>
      </c>
      <c r="E287" s="125">
        <v>11155</v>
      </c>
      <c r="F287" s="21">
        <v>539</v>
      </c>
      <c r="G287" s="119"/>
      <c r="H287" s="21">
        <f t="shared" si="4"/>
        <v>201684.95000000022</v>
      </c>
    </row>
    <row r="288" spans="2:8">
      <c r="B288" s="19">
        <v>45807</v>
      </c>
      <c r="C288" s="20" t="s">
        <v>257</v>
      </c>
      <c r="D288" s="125" t="s">
        <v>480</v>
      </c>
      <c r="E288" s="125">
        <v>11155</v>
      </c>
      <c r="F288" s="21">
        <v>539</v>
      </c>
      <c r="G288" s="119"/>
      <c r="H288" s="21">
        <f t="shared" si="4"/>
        <v>202223.95000000022</v>
      </c>
    </row>
    <row r="289" spans="2:8">
      <c r="B289" s="19">
        <v>45807</v>
      </c>
      <c r="C289" s="20" t="s">
        <v>256</v>
      </c>
      <c r="D289" s="125" t="s">
        <v>479</v>
      </c>
      <c r="E289" s="125">
        <v>11155</v>
      </c>
      <c r="F289" s="21">
        <v>539</v>
      </c>
      <c r="G289" s="119"/>
      <c r="H289" s="21">
        <f t="shared" si="4"/>
        <v>202762.95000000022</v>
      </c>
    </row>
    <row r="290" spans="2:8">
      <c r="B290" s="19">
        <v>45807</v>
      </c>
      <c r="C290" s="20" t="s">
        <v>60</v>
      </c>
      <c r="D290" s="125" t="s">
        <v>473</v>
      </c>
      <c r="E290" s="125">
        <v>11154</v>
      </c>
      <c r="F290" s="21">
        <v>539</v>
      </c>
      <c r="G290" s="119"/>
      <c r="H290" s="21">
        <f t="shared" si="4"/>
        <v>203301.95000000022</v>
      </c>
    </row>
    <row r="291" spans="2:8">
      <c r="B291" s="19">
        <v>45807</v>
      </c>
      <c r="C291" s="20" t="s">
        <v>60</v>
      </c>
      <c r="D291" s="125" t="s">
        <v>481</v>
      </c>
      <c r="E291" s="125">
        <v>11155</v>
      </c>
      <c r="F291" s="21">
        <v>539</v>
      </c>
      <c r="G291" s="119"/>
      <c r="H291" s="21">
        <f t="shared" si="4"/>
        <v>203840.95000000022</v>
      </c>
    </row>
    <row r="292" spans="2:8">
      <c r="B292" s="19">
        <v>45807</v>
      </c>
      <c r="C292" s="20" t="s">
        <v>258</v>
      </c>
      <c r="D292" s="125" t="s">
        <v>482</v>
      </c>
      <c r="E292" s="125">
        <v>11155</v>
      </c>
      <c r="F292" s="21">
        <v>540</v>
      </c>
      <c r="G292" s="119"/>
      <c r="H292" s="21">
        <f t="shared" si="4"/>
        <v>204380.95000000022</v>
      </c>
    </row>
    <row r="293" spans="2:8">
      <c r="B293" s="19">
        <v>45807</v>
      </c>
      <c r="C293" s="20" t="s">
        <v>106</v>
      </c>
      <c r="D293" s="125" t="s">
        <v>465</v>
      </c>
      <c r="E293" s="125">
        <v>11151</v>
      </c>
      <c r="F293" s="21">
        <v>559.98</v>
      </c>
      <c r="G293" s="119"/>
      <c r="H293" s="21">
        <f t="shared" si="4"/>
        <v>204940.93000000023</v>
      </c>
    </row>
    <row r="294" spans="2:8">
      <c r="B294" s="19">
        <v>45807</v>
      </c>
      <c r="C294" s="20" t="s">
        <v>107</v>
      </c>
      <c r="D294" s="125" t="s">
        <v>446</v>
      </c>
      <c r="E294" s="125">
        <v>11135</v>
      </c>
      <c r="F294" s="21">
        <v>631</v>
      </c>
      <c r="G294" s="119"/>
      <c r="H294" s="21">
        <f t="shared" si="4"/>
        <v>205571.93000000023</v>
      </c>
    </row>
    <row r="295" spans="2:8">
      <c r="B295" s="19">
        <v>45807</v>
      </c>
      <c r="C295" s="20" t="s">
        <v>234</v>
      </c>
      <c r="D295" s="125" t="s">
        <v>450</v>
      </c>
      <c r="E295" s="125">
        <v>11138</v>
      </c>
      <c r="F295" s="21">
        <v>778.4</v>
      </c>
      <c r="G295" s="119"/>
      <c r="H295" s="21">
        <f t="shared" si="4"/>
        <v>206350.33000000022</v>
      </c>
    </row>
    <row r="296" spans="2:8">
      <c r="B296" s="19">
        <v>45807</v>
      </c>
      <c r="C296" s="20" t="s">
        <v>241</v>
      </c>
      <c r="D296" s="125" t="s">
        <v>442</v>
      </c>
      <c r="E296" s="125">
        <v>11131</v>
      </c>
      <c r="F296" s="21">
        <v>915.26</v>
      </c>
      <c r="G296" s="119"/>
      <c r="H296" s="21">
        <f t="shared" si="4"/>
        <v>207265.59000000023</v>
      </c>
    </row>
    <row r="297" spans="2:8">
      <c r="B297" s="19">
        <v>45807</v>
      </c>
      <c r="C297" s="20" t="s">
        <v>107</v>
      </c>
      <c r="D297" s="125" t="s">
        <v>449</v>
      </c>
      <c r="E297" s="125">
        <v>11137</v>
      </c>
      <c r="F297" s="21">
        <v>986.02</v>
      </c>
      <c r="G297" s="119"/>
      <c r="H297" s="21">
        <f t="shared" si="4"/>
        <v>208251.61000000022</v>
      </c>
    </row>
    <row r="298" spans="2:8">
      <c r="B298" s="19">
        <v>45807</v>
      </c>
      <c r="C298" s="20" t="s">
        <v>66</v>
      </c>
      <c r="D298" s="125" t="s">
        <v>475</v>
      </c>
      <c r="E298" s="125">
        <v>11154</v>
      </c>
      <c r="F298" s="21">
        <v>1056.4000000000001</v>
      </c>
      <c r="G298" s="119"/>
      <c r="H298" s="21">
        <f t="shared" si="4"/>
        <v>209308.01000000021</v>
      </c>
    </row>
    <row r="299" spans="2:8">
      <c r="B299" s="19">
        <v>45807</v>
      </c>
      <c r="C299" s="20" t="s">
        <v>226</v>
      </c>
      <c r="D299" s="125" t="s">
        <v>471</v>
      </c>
      <c r="E299" s="125">
        <v>11154</v>
      </c>
      <c r="F299" s="21">
        <v>1056.4000000000001</v>
      </c>
      <c r="G299" s="119"/>
      <c r="H299" s="21">
        <f t="shared" si="4"/>
        <v>210364.41000000021</v>
      </c>
    </row>
    <row r="300" spans="2:8">
      <c r="B300" s="19">
        <v>45807</v>
      </c>
      <c r="C300" s="20" t="s">
        <v>226</v>
      </c>
      <c r="D300" s="125" t="s">
        <v>472</v>
      </c>
      <c r="E300" s="125">
        <v>11154</v>
      </c>
      <c r="F300" s="21">
        <v>1056.4000000000001</v>
      </c>
      <c r="G300" s="119"/>
      <c r="H300" s="21">
        <f t="shared" si="4"/>
        <v>211420.8100000002</v>
      </c>
    </row>
    <row r="301" spans="2:8">
      <c r="B301" s="19">
        <v>45807</v>
      </c>
      <c r="C301" s="20" t="s">
        <v>255</v>
      </c>
      <c r="D301" s="125" t="s">
        <v>469</v>
      </c>
      <c r="E301" s="125">
        <v>11154</v>
      </c>
      <c r="F301" s="21">
        <v>1056.4000000000001</v>
      </c>
      <c r="G301" s="119"/>
      <c r="H301" s="21">
        <f t="shared" si="4"/>
        <v>212477.2100000002</v>
      </c>
    </row>
    <row r="302" spans="2:8">
      <c r="B302" s="19">
        <v>45807</v>
      </c>
      <c r="C302" s="20" t="s">
        <v>249</v>
      </c>
      <c r="D302" s="125" t="s">
        <v>470</v>
      </c>
      <c r="E302" s="125">
        <v>11154</v>
      </c>
      <c r="F302" s="21">
        <v>1056.4000000000001</v>
      </c>
      <c r="G302" s="119"/>
      <c r="H302" s="21">
        <f t="shared" si="4"/>
        <v>213533.61000000019</v>
      </c>
    </row>
    <row r="303" spans="2:8">
      <c r="B303" s="19">
        <v>45807</v>
      </c>
      <c r="C303" s="20" t="s">
        <v>66</v>
      </c>
      <c r="D303" s="125" t="s">
        <v>485</v>
      </c>
      <c r="E303" s="125">
        <v>11155</v>
      </c>
      <c r="F303" s="21">
        <v>1078</v>
      </c>
      <c r="G303" s="119"/>
      <c r="H303" s="21">
        <f t="shared" si="4"/>
        <v>214611.61000000019</v>
      </c>
    </row>
    <row r="304" spans="2:8">
      <c r="B304" s="19">
        <v>45807</v>
      </c>
      <c r="C304" s="20" t="s">
        <v>66</v>
      </c>
      <c r="D304" s="125" t="s">
        <v>487</v>
      </c>
      <c r="E304" s="125">
        <v>11155</v>
      </c>
      <c r="F304" s="21">
        <v>1078</v>
      </c>
      <c r="G304" s="119"/>
      <c r="H304" s="21">
        <f t="shared" si="4"/>
        <v>215689.61000000019</v>
      </c>
    </row>
    <row r="305" spans="2:8">
      <c r="B305" s="19">
        <v>45807</v>
      </c>
      <c r="C305" s="20" t="s">
        <v>259</v>
      </c>
      <c r="D305" s="125" t="s">
        <v>483</v>
      </c>
      <c r="E305" s="125">
        <v>11155</v>
      </c>
      <c r="F305" s="21">
        <v>1078</v>
      </c>
      <c r="G305" s="119"/>
      <c r="H305" s="21">
        <f t="shared" si="4"/>
        <v>216767.61000000019</v>
      </c>
    </row>
    <row r="306" spans="2:8">
      <c r="B306" s="19">
        <v>45807</v>
      </c>
      <c r="C306" s="20" t="s">
        <v>260</v>
      </c>
      <c r="D306" s="125" t="s">
        <v>484</v>
      </c>
      <c r="E306" s="125">
        <v>11155</v>
      </c>
      <c r="F306" s="21">
        <v>1293.5999999999999</v>
      </c>
      <c r="G306" s="119"/>
      <c r="H306" s="21">
        <f t="shared" si="4"/>
        <v>218061.2100000002</v>
      </c>
    </row>
    <row r="307" spans="2:8">
      <c r="B307" s="19">
        <v>45807</v>
      </c>
      <c r="C307" s="20" t="s">
        <v>66</v>
      </c>
      <c r="D307" s="125" t="s">
        <v>468</v>
      </c>
      <c r="E307" s="125">
        <v>11153</v>
      </c>
      <c r="F307" s="21">
        <v>1431.84</v>
      </c>
      <c r="G307" s="119"/>
      <c r="H307" s="21">
        <f t="shared" si="4"/>
        <v>219493.05000000019</v>
      </c>
    </row>
    <row r="308" spans="2:8">
      <c r="B308" s="19">
        <v>45807</v>
      </c>
      <c r="C308" s="20" t="s">
        <v>106</v>
      </c>
      <c r="D308" s="125" t="s">
        <v>466</v>
      </c>
      <c r="E308" s="125">
        <v>11151</v>
      </c>
      <c r="F308" s="21">
        <v>1500</v>
      </c>
      <c r="G308" s="119"/>
      <c r="H308" s="21">
        <f t="shared" si="4"/>
        <v>220993.05000000019</v>
      </c>
    </row>
    <row r="309" spans="2:8">
      <c r="B309" s="19">
        <v>45807</v>
      </c>
      <c r="C309" s="20" t="s">
        <v>67</v>
      </c>
      <c r="D309" s="125" t="s">
        <v>145</v>
      </c>
      <c r="E309" s="125">
        <v>11133</v>
      </c>
      <c r="F309" s="21">
        <v>1645</v>
      </c>
      <c r="G309" s="119"/>
      <c r="H309" s="21">
        <f t="shared" si="4"/>
        <v>222638.05000000019</v>
      </c>
    </row>
    <row r="310" spans="2:8">
      <c r="B310" s="19">
        <v>45807</v>
      </c>
      <c r="C310" s="20" t="s">
        <v>235</v>
      </c>
      <c r="D310" s="125" t="s">
        <v>438</v>
      </c>
      <c r="E310" s="125">
        <v>11127</v>
      </c>
      <c r="F310" s="21">
        <v>1730</v>
      </c>
      <c r="G310" s="119"/>
      <c r="H310" s="21">
        <f t="shared" si="4"/>
        <v>224368.05000000019</v>
      </c>
    </row>
    <row r="311" spans="2:8">
      <c r="B311" s="19">
        <v>45807</v>
      </c>
      <c r="C311" s="20" t="s">
        <v>101</v>
      </c>
      <c r="D311" s="125" t="s">
        <v>444</v>
      </c>
      <c r="E311" s="125">
        <v>11134</v>
      </c>
      <c r="F311" s="21">
        <v>1918.6</v>
      </c>
      <c r="G311" s="119"/>
      <c r="H311" s="21">
        <f t="shared" si="4"/>
        <v>226286.6500000002</v>
      </c>
    </row>
    <row r="312" spans="2:8">
      <c r="B312" s="19">
        <v>45807</v>
      </c>
      <c r="C312" s="20" t="s">
        <v>69</v>
      </c>
      <c r="D312" s="125" t="s">
        <v>132</v>
      </c>
      <c r="E312" s="125">
        <v>11126</v>
      </c>
      <c r="F312" s="21">
        <v>1979.94</v>
      </c>
      <c r="G312" s="119"/>
      <c r="H312" s="21">
        <f t="shared" si="4"/>
        <v>228266.5900000002</v>
      </c>
    </row>
    <row r="313" spans="2:8">
      <c r="B313" s="19">
        <v>45807</v>
      </c>
      <c r="C313" s="20" t="s">
        <v>66</v>
      </c>
      <c r="D313" s="125" t="s">
        <v>454</v>
      </c>
      <c r="E313" s="125">
        <v>11142</v>
      </c>
      <c r="F313" s="21">
        <v>2014</v>
      </c>
      <c r="G313" s="119"/>
      <c r="H313" s="21">
        <f t="shared" si="4"/>
        <v>230280.5900000002</v>
      </c>
    </row>
    <row r="314" spans="2:8">
      <c r="B314" s="19">
        <v>45807</v>
      </c>
      <c r="C314" s="20" t="s">
        <v>221</v>
      </c>
      <c r="D314" s="125" t="s">
        <v>463</v>
      </c>
      <c r="E314" s="125">
        <v>11149</v>
      </c>
      <c r="F314" s="21">
        <v>2035.23</v>
      </c>
      <c r="G314" s="119"/>
      <c r="H314" s="21">
        <f t="shared" si="4"/>
        <v>232315.82000000021</v>
      </c>
    </row>
    <row r="315" spans="2:8">
      <c r="B315" s="19">
        <v>45807</v>
      </c>
      <c r="C315" s="20" t="s">
        <v>254</v>
      </c>
      <c r="D315" s="125" t="s">
        <v>462</v>
      </c>
      <c r="E315" s="125">
        <v>11148</v>
      </c>
      <c r="F315" s="21">
        <v>2102.1</v>
      </c>
      <c r="G315" s="119"/>
      <c r="H315" s="21">
        <f t="shared" si="4"/>
        <v>234417.92000000022</v>
      </c>
    </row>
    <row r="316" spans="2:8">
      <c r="B316" s="19">
        <v>45807</v>
      </c>
      <c r="C316" s="20" t="s">
        <v>214</v>
      </c>
      <c r="D316" s="125" t="s">
        <v>452</v>
      </c>
      <c r="E316" s="125">
        <v>11140</v>
      </c>
      <c r="F316" s="21">
        <v>2172.46</v>
      </c>
      <c r="G316" s="119"/>
      <c r="H316" s="21">
        <f t="shared" si="4"/>
        <v>236590.38000000021</v>
      </c>
    </row>
    <row r="317" spans="2:8">
      <c r="B317" s="19">
        <v>45807</v>
      </c>
      <c r="C317" s="20" t="s">
        <v>106</v>
      </c>
      <c r="D317" s="125" t="s">
        <v>434</v>
      </c>
      <c r="E317" s="125">
        <v>11122</v>
      </c>
      <c r="F317" s="21">
        <v>2253.1999999999998</v>
      </c>
      <c r="G317" s="119"/>
      <c r="H317" s="21">
        <f t="shared" si="4"/>
        <v>238843.58000000022</v>
      </c>
    </row>
    <row r="318" spans="2:8">
      <c r="B318" s="19">
        <v>45807</v>
      </c>
      <c r="C318" s="20" t="s">
        <v>103</v>
      </c>
      <c r="D318" s="125" t="s">
        <v>433</v>
      </c>
      <c r="E318" s="125">
        <v>11121</v>
      </c>
      <c r="F318" s="21">
        <v>2253.1999999999998</v>
      </c>
      <c r="G318" s="119"/>
      <c r="H318" s="21">
        <f t="shared" si="4"/>
        <v>241096.78000000023</v>
      </c>
    </row>
    <row r="319" spans="2:8">
      <c r="B319" s="19">
        <v>45807</v>
      </c>
      <c r="C319" s="20" t="s">
        <v>251</v>
      </c>
      <c r="D319" s="125" t="s">
        <v>441</v>
      </c>
      <c r="E319" s="125">
        <v>11130</v>
      </c>
      <c r="F319" s="21">
        <v>2253.1999999999998</v>
      </c>
      <c r="G319" s="119"/>
      <c r="H319" s="21">
        <f t="shared" si="4"/>
        <v>243349.98000000024</v>
      </c>
    </row>
    <row r="320" spans="2:8">
      <c r="B320" s="19">
        <v>45807</v>
      </c>
      <c r="C320" s="20" t="s">
        <v>66</v>
      </c>
      <c r="D320" s="125" t="s">
        <v>453</v>
      </c>
      <c r="E320" s="125">
        <v>11141</v>
      </c>
      <c r="F320" s="21">
        <v>2271.2600000000002</v>
      </c>
      <c r="G320" s="119"/>
      <c r="H320" s="21">
        <f t="shared" si="4"/>
        <v>245621.24000000025</v>
      </c>
    </row>
    <row r="321" spans="2:8">
      <c r="B321" s="19">
        <v>45807</v>
      </c>
      <c r="C321" s="20" t="s">
        <v>220</v>
      </c>
      <c r="D321" s="125" t="s">
        <v>426</v>
      </c>
      <c r="E321" s="125">
        <v>11113</v>
      </c>
      <c r="F321" s="21">
        <v>2271.2600000000002</v>
      </c>
      <c r="G321" s="119"/>
      <c r="H321" s="21">
        <f t="shared" si="4"/>
        <v>247892.50000000026</v>
      </c>
    </row>
    <row r="322" spans="2:8">
      <c r="B322" s="19">
        <v>45807</v>
      </c>
      <c r="C322" s="20" t="s">
        <v>113</v>
      </c>
      <c r="D322" s="125" t="s">
        <v>424</v>
      </c>
      <c r="E322" s="125">
        <v>11111</v>
      </c>
      <c r="F322" s="21">
        <v>2271.2600000000002</v>
      </c>
      <c r="G322" s="119"/>
      <c r="H322" s="21">
        <f t="shared" si="4"/>
        <v>250163.76000000027</v>
      </c>
    </row>
    <row r="323" spans="2:8">
      <c r="B323" s="19">
        <v>45807</v>
      </c>
      <c r="C323" s="20" t="s">
        <v>69</v>
      </c>
      <c r="D323" s="125" t="s">
        <v>429</v>
      </c>
      <c r="E323" s="125">
        <v>11116</v>
      </c>
      <c r="F323" s="21">
        <v>2271.2600000000002</v>
      </c>
      <c r="G323" s="119"/>
      <c r="H323" s="21">
        <f t="shared" si="4"/>
        <v>252435.02000000028</v>
      </c>
    </row>
    <row r="324" spans="2:8">
      <c r="B324" s="19">
        <v>45807</v>
      </c>
      <c r="C324" s="20" t="s">
        <v>247</v>
      </c>
      <c r="D324" s="125" t="s">
        <v>431</v>
      </c>
      <c r="E324" s="125">
        <v>11118</v>
      </c>
      <c r="F324" s="21">
        <v>2271.2600000000002</v>
      </c>
      <c r="G324" s="119"/>
      <c r="H324" s="21">
        <f t="shared" si="4"/>
        <v>254706.28000000029</v>
      </c>
    </row>
    <row r="325" spans="2:8">
      <c r="B325" s="19">
        <v>45807</v>
      </c>
      <c r="C325" s="20" t="s">
        <v>105</v>
      </c>
      <c r="D325" s="125" t="s">
        <v>428</v>
      </c>
      <c r="E325" s="125">
        <v>11115</v>
      </c>
      <c r="F325" s="21">
        <v>2271.2600000000002</v>
      </c>
      <c r="G325" s="119"/>
      <c r="H325" s="21">
        <f t="shared" si="4"/>
        <v>256977.5400000003</v>
      </c>
    </row>
    <row r="326" spans="2:8">
      <c r="B326" s="19">
        <v>45807</v>
      </c>
      <c r="C326" s="20" t="s">
        <v>246</v>
      </c>
      <c r="D326" s="125" t="s">
        <v>427</v>
      </c>
      <c r="E326" s="125">
        <v>11114</v>
      </c>
      <c r="F326" s="21">
        <v>2271.2600000000002</v>
      </c>
      <c r="G326" s="119"/>
      <c r="H326" s="21">
        <f t="shared" si="4"/>
        <v>259248.80000000031</v>
      </c>
    </row>
    <row r="327" spans="2:8">
      <c r="B327" s="19">
        <v>45807</v>
      </c>
      <c r="C327" s="20" t="s">
        <v>123</v>
      </c>
      <c r="D327" s="125" t="s">
        <v>425</v>
      </c>
      <c r="E327" s="125">
        <v>11112</v>
      </c>
      <c r="F327" s="21">
        <v>2271.2600000000002</v>
      </c>
      <c r="G327" s="119"/>
      <c r="H327" s="21">
        <f t="shared" si="4"/>
        <v>261520.06000000032</v>
      </c>
    </row>
    <row r="328" spans="2:8">
      <c r="B328" s="19">
        <v>45807</v>
      </c>
      <c r="C328" s="20" t="s">
        <v>108</v>
      </c>
      <c r="D328" s="125" t="s">
        <v>430</v>
      </c>
      <c r="E328" s="125">
        <v>11117</v>
      </c>
      <c r="F328" s="21">
        <v>2271.2600000000002</v>
      </c>
      <c r="G328" s="119"/>
      <c r="H328" s="21">
        <f t="shared" si="4"/>
        <v>263791.3200000003</v>
      </c>
    </row>
    <row r="329" spans="2:8">
      <c r="B329" s="19">
        <v>45807</v>
      </c>
      <c r="C329" s="20" t="s">
        <v>84</v>
      </c>
      <c r="D329" s="125" t="s">
        <v>432</v>
      </c>
      <c r="E329" s="125">
        <v>11120</v>
      </c>
      <c r="F329" s="21">
        <v>2272</v>
      </c>
      <c r="G329" s="119"/>
      <c r="H329" s="21">
        <f t="shared" si="4"/>
        <v>266063.3200000003</v>
      </c>
    </row>
    <row r="330" spans="2:8">
      <c r="B330" s="19">
        <v>45807</v>
      </c>
      <c r="C330" s="20" t="s">
        <v>87</v>
      </c>
      <c r="D330" s="125" t="s">
        <v>437</v>
      </c>
      <c r="E330" s="125">
        <v>11125</v>
      </c>
      <c r="F330" s="21">
        <v>2304.16</v>
      </c>
      <c r="G330" s="119"/>
      <c r="H330" s="21">
        <f t="shared" si="4"/>
        <v>268367.48000000027</v>
      </c>
    </row>
    <row r="331" spans="2:8">
      <c r="B331" s="19">
        <v>45807</v>
      </c>
      <c r="C331" s="20" t="s">
        <v>213</v>
      </c>
      <c r="D331" s="125" t="s">
        <v>440</v>
      </c>
      <c r="E331" s="125">
        <v>11129</v>
      </c>
      <c r="F331" s="21">
        <v>2304.37</v>
      </c>
      <c r="G331" s="119"/>
      <c r="H331" s="21">
        <f t="shared" si="4"/>
        <v>270671.85000000027</v>
      </c>
    </row>
    <row r="332" spans="2:8">
      <c r="B332" s="19">
        <v>45807</v>
      </c>
      <c r="C332" s="20" t="s">
        <v>249</v>
      </c>
      <c r="D332" s="125" t="s">
        <v>436</v>
      </c>
      <c r="E332" s="125">
        <v>11124</v>
      </c>
      <c r="F332" s="21">
        <v>2329.66</v>
      </c>
      <c r="G332" s="119"/>
      <c r="H332" s="21">
        <f t="shared" si="4"/>
        <v>273001.51000000024</v>
      </c>
    </row>
    <row r="333" spans="2:8">
      <c r="B333" s="19">
        <v>45807</v>
      </c>
      <c r="C333" s="20" t="s">
        <v>69</v>
      </c>
      <c r="D333" s="125" t="s">
        <v>464</v>
      </c>
      <c r="E333" s="125">
        <v>11150</v>
      </c>
      <c r="F333" s="21">
        <v>2397.08</v>
      </c>
      <c r="G333" s="119"/>
      <c r="H333" s="21">
        <f t="shared" si="4"/>
        <v>275398.59000000026</v>
      </c>
    </row>
    <row r="334" spans="2:8">
      <c r="B334" s="19">
        <v>45807</v>
      </c>
      <c r="C334" s="20" t="s">
        <v>252</v>
      </c>
      <c r="D334" s="125" t="s">
        <v>448</v>
      </c>
      <c r="E334" s="125">
        <v>11137</v>
      </c>
      <c r="F334" s="21">
        <v>2450</v>
      </c>
      <c r="G334" s="119"/>
      <c r="H334" s="21">
        <f t="shared" ref="H334:H347" si="5">+H333+F334+G334</f>
        <v>277848.59000000026</v>
      </c>
    </row>
    <row r="335" spans="2:8">
      <c r="B335" s="19">
        <v>45807</v>
      </c>
      <c r="C335" s="20" t="s">
        <v>253</v>
      </c>
      <c r="D335" s="125" t="s">
        <v>457</v>
      </c>
      <c r="E335" s="125">
        <v>11147</v>
      </c>
      <c r="F335" s="21">
        <v>2563.4299999999998</v>
      </c>
      <c r="G335" s="119"/>
      <c r="H335" s="21">
        <f t="shared" si="5"/>
        <v>280412.02000000025</v>
      </c>
    </row>
    <row r="336" spans="2:8">
      <c r="B336" s="19">
        <v>45807</v>
      </c>
      <c r="C336" s="20" t="s">
        <v>226</v>
      </c>
      <c r="D336" s="125" t="s">
        <v>467</v>
      </c>
      <c r="E336" s="125">
        <v>11152</v>
      </c>
      <c r="F336" s="21">
        <v>2642</v>
      </c>
      <c r="G336" s="119"/>
      <c r="H336" s="21">
        <f t="shared" si="5"/>
        <v>283054.02000000025</v>
      </c>
    </row>
    <row r="337" spans="2:8">
      <c r="B337" s="19">
        <v>45807</v>
      </c>
      <c r="C337" s="20" t="s">
        <v>70</v>
      </c>
      <c r="D337" s="125" t="s">
        <v>445</v>
      </c>
      <c r="E337" s="125">
        <v>11135</v>
      </c>
      <c r="F337" s="21">
        <v>2765.05</v>
      </c>
      <c r="G337" s="119"/>
      <c r="H337" s="21">
        <f t="shared" si="5"/>
        <v>285819.07000000024</v>
      </c>
    </row>
    <row r="338" spans="2:8">
      <c r="B338" s="19">
        <v>45807</v>
      </c>
      <c r="C338" s="20" t="s">
        <v>65</v>
      </c>
      <c r="D338" s="125" t="s">
        <v>456</v>
      </c>
      <c r="E338" s="125">
        <v>11144</v>
      </c>
      <c r="F338" s="21">
        <v>2777.2</v>
      </c>
      <c r="G338" s="119"/>
      <c r="H338" s="21">
        <f t="shared" si="5"/>
        <v>288596.27000000025</v>
      </c>
    </row>
    <row r="339" spans="2:8">
      <c r="B339" s="19">
        <v>45807</v>
      </c>
      <c r="C339" s="20" t="s">
        <v>72</v>
      </c>
      <c r="D339" s="125" t="s">
        <v>455</v>
      </c>
      <c r="E339" s="125">
        <v>11143</v>
      </c>
      <c r="F339" s="21">
        <v>2777.2</v>
      </c>
      <c r="G339" s="119"/>
      <c r="H339" s="21">
        <f t="shared" si="5"/>
        <v>291373.47000000026</v>
      </c>
    </row>
    <row r="340" spans="2:8">
      <c r="B340" s="19">
        <v>45807</v>
      </c>
      <c r="C340" s="20" t="s">
        <v>101</v>
      </c>
      <c r="D340" s="125" t="s">
        <v>447</v>
      </c>
      <c r="E340" s="125">
        <v>11136</v>
      </c>
      <c r="F340" s="21">
        <v>2799.46</v>
      </c>
      <c r="G340" s="119"/>
      <c r="H340" s="21">
        <f t="shared" si="5"/>
        <v>294172.93000000028</v>
      </c>
    </row>
    <row r="341" spans="2:8">
      <c r="B341" s="19">
        <v>45807</v>
      </c>
      <c r="C341" s="20" t="s">
        <v>250</v>
      </c>
      <c r="D341" s="125" t="s">
        <v>439</v>
      </c>
      <c r="E341" s="125">
        <v>11128</v>
      </c>
      <c r="F341" s="21">
        <v>2799.46</v>
      </c>
      <c r="G341" s="119"/>
      <c r="H341" s="21">
        <f t="shared" si="5"/>
        <v>296972.39000000031</v>
      </c>
    </row>
    <row r="342" spans="2:8">
      <c r="B342" s="19">
        <v>45807</v>
      </c>
      <c r="C342" s="20" t="s">
        <v>117</v>
      </c>
      <c r="D342" s="125" t="s">
        <v>423</v>
      </c>
      <c r="E342" s="125">
        <v>11110</v>
      </c>
      <c r="F342" s="21">
        <v>3000</v>
      </c>
      <c r="G342" s="119"/>
      <c r="H342" s="21">
        <f t="shared" si="5"/>
        <v>299972.39000000031</v>
      </c>
    </row>
    <row r="343" spans="2:8">
      <c r="B343" s="19">
        <v>45807</v>
      </c>
      <c r="C343" s="20" t="s">
        <v>116</v>
      </c>
      <c r="D343" s="125" t="s">
        <v>443</v>
      </c>
      <c r="E343" s="125">
        <v>11132</v>
      </c>
      <c r="F343" s="21">
        <v>3658.88</v>
      </c>
      <c r="G343" s="119"/>
      <c r="H343" s="21">
        <f t="shared" si="5"/>
        <v>303631.27000000031</v>
      </c>
    </row>
    <row r="344" spans="2:8">
      <c r="B344" s="19">
        <v>45807</v>
      </c>
      <c r="C344" s="20" t="s">
        <v>248</v>
      </c>
      <c r="D344" s="125" t="s">
        <v>435</v>
      </c>
      <c r="E344" s="125">
        <v>11123</v>
      </c>
      <c r="F344" s="21">
        <v>4587.18</v>
      </c>
      <c r="G344" s="119"/>
      <c r="H344" s="21">
        <f t="shared" si="5"/>
        <v>308218.4500000003</v>
      </c>
    </row>
    <row r="345" spans="2:8">
      <c r="B345" s="19">
        <v>45807</v>
      </c>
      <c r="C345" s="20" t="s">
        <v>97</v>
      </c>
      <c r="D345" s="125" t="s">
        <v>451</v>
      </c>
      <c r="E345" s="125">
        <v>11139</v>
      </c>
      <c r="F345" s="21">
        <v>20527.48</v>
      </c>
      <c r="G345" s="119"/>
      <c r="H345" s="21">
        <f t="shared" si="5"/>
        <v>328745.93000000028</v>
      </c>
    </row>
    <row r="346" spans="2:8">
      <c r="B346" s="19">
        <v>45808</v>
      </c>
      <c r="C346" s="20" t="s">
        <v>73</v>
      </c>
      <c r="D346" s="125" t="s">
        <v>498</v>
      </c>
      <c r="E346" s="125"/>
      <c r="F346" s="21"/>
      <c r="G346" s="119">
        <v>-135.05000000000001</v>
      </c>
      <c r="H346" s="21">
        <f t="shared" si="5"/>
        <v>328610.8800000003</v>
      </c>
    </row>
    <row r="347" spans="2:8" ht="18.75">
      <c r="B347" s="19">
        <v>45808</v>
      </c>
      <c r="C347" s="20" t="s">
        <v>73</v>
      </c>
      <c r="D347" s="125" t="s">
        <v>510</v>
      </c>
      <c r="E347" s="125"/>
      <c r="F347" s="21"/>
      <c r="G347" s="119">
        <v>-36.67</v>
      </c>
      <c r="H347" s="191">
        <f t="shared" si="5"/>
        <v>328574.21000000031</v>
      </c>
    </row>
  </sheetData>
  <autoFilter ref="B10:H10" xr:uid="{00000000-0009-0000-0000-000002000000}"/>
  <mergeCells count="6">
    <mergeCell ref="B7:H7"/>
    <mergeCell ref="B2:H2"/>
    <mergeCell ref="A3:H3"/>
    <mergeCell ref="B4:H4"/>
    <mergeCell ref="B5:H5"/>
    <mergeCell ref="B6:H6"/>
  </mergeCells>
  <pageMargins left="0.25" right="0.25" top="0.75" bottom="0.75" header="0.3" footer="0.3"/>
  <pageSetup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578"/>
  <sheetViews>
    <sheetView topLeftCell="B1" workbookViewId="0">
      <selection activeCell="H22" sqref="H22:I22"/>
    </sheetView>
  </sheetViews>
  <sheetFormatPr baseColWidth="10" defaultRowHeight="15"/>
  <cols>
    <col min="1" max="1" width="10.42578125" customWidth="1"/>
    <col min="2" max="2" width="13.42578125" customWidth="1"/>
    <col min="3" max="3" width="26.140625" style="77" customWidth="1"/>
    <col min="4" max="4" width="12.7109375" style="77" customWidth="1"/>
    <col min="5" max="5" width="3.85546875" style="77" customWidth="1"/>
    <col min="6" max="6" width="14.5703125" style="77" customWidth="1"/>
    <col min="7" max="7" width="13" style="77" customWidth="1"/>
    <col min="8" max="8" width="6.140625" style="1" customWidth="1"/>
    <col min="9" max="9" width="8.5703125" style="1" customWidth="1"/>
    <col min="10" max="10" width="4.140625" customWidth="1"/>
    <col min="11" max="11" width="7.140625" customWidth="1"/>
    <col min="12" max="12" width="17.5703125" customWidth="1"/>
    <col min="13" max="13" width="25.5703125" customWidth="1"/>
  </cols>
  <sheetData>
    <row r="1" spans="1:17">
      <c r="A1" s="5"/>
      <c r="B1" s="5"/>
      <c r="C1" s="6"/>
      <c r="D1" s="5"/>
      <c r="E1" s="5"/>
      <c r="F1" s="5"/>
      <c r="G1" s="5"/>
      <c r="H1" s="64"/>
      <c r="I1" s="64"/>
    </row>
    <row r="2" spans="1:17">
      <c r="A2" s="7"/>
      <c r="B2" s="154" t="s">
        <v>15</v>
      </c>
      <c r="C2" s="154"/>
      <c r="D2" s="154"/>
      <c r="E2" s="154"/>
      <c r="F2" s="154"/>
      <c r="G2" s="154"/>
      <c r="H2" s="154"/>
      <c r="I2" s="64"/>
    </row>
    <row r="3" spans="1:17">
      <c r="A3" s="154" t="s">
        <v>16</v>
      </c>
      <c r="B3" s="154"/>
      <c r="C3" s="154"/>
      <c r="D3" s="154"/>
      <c r="E3" s="154"/>
      <c r="F3" s="154"/>
      <c r="G3" s="154"/>
      <c r="H3" s="154"/>
      <c r="I3" s="64"/>
    </row>
    <row r="4" spans="1:17">
      <c r="A4" s="154" t="s">
        <v>17</v>
      </c>
      <c r="B4" s="154"/>
      <c r="C4" s="154"/>
      <c r="D4" s="154"/>
      <c r="E4" s="154"/>
      <c r="F4" s="154"/>
      <c r="G4" s="154"/>
      <c r="H4" s="154"/>
      <c r="I4" s="64"/>
    </row>
    <row r="5" spans="1:17">
      <c r="A5" s="153" t="s">
        <v>18</v>
      </c>
      <c r="B5" s="153"/>
      <c r="C5" s="153"/>
      <c r="D5" s="153"/>
      <c r="E5" s="153"/>
      <c r="F5" s="153"/>
      <c r="G5" s="153"/>
      <c r="H5" s="153"/>
      <c r="I5" s="64"/>
    </row>
    <row r="6" spans="1:17">
      <c r="A6" s="153" t="s">
        <v>53</v>
      </c>
      <c r="B6" s="153"/>
      <c r="C6" s="153"/>
      <c r="D6" s="153"/>
      <c r="E6" s="153"/>
      <c r="F6" s="153"/>
      <c r="G6" s="153"/>
      <c r="H6" s="153"/>
      <c r="I6" s="64"/>
    </row>
    <row r="7" spans="1:17">
      <c r="A7" s="153" t="s">
        <v>29</v>
      </c>
      <c r="B7" s="153"/>
      <c r="C7" s="153"/>
      <c r="D7" s="153"/>
      <c r="E7" s="153"/>
      <c r="F7" s="153"/>
      <c r="G7" s="153"/>
      <c r="H7" s="153"/>
      <c r="I7" s="64"/>
    </row>
    <row r="8" spans="1:17">
      <c r="A8" s="62"/>
      <c r="B8" s="66"/>
      <c r="C8" s="65"/>
      <c r="D8" s="65"/>
      <c r="E8" s="65"/>
      <c r="F8" s="65"/>
      <c r="G8" s="63"/>
      <c r="H8" s="64"/>
      <c r="I8" s="64"/>
    </row>
    <row r="9" spans="1:17" ht="18.75">
      <c r="A9" s="67"/>
      <c r="B9" s="67"/>
      <c r="C9" s="67"/>
      <c r="D9" s="67"/>
      <c r="E9" s="156" t="s">
        <v>58</v>
      </c>
      <c r="F9" s="156"/>
      <c r="G9" s="156"/>
      <c r="H9" s="156"/>
      <c r="I9" s="67"/>
    </row>
    <row r="10" spans="1:17" ht="25.5">
      <c r="A10" s="152" t="s">
        <v>52</v>
      </c>
      <c r="B10" s="152"/>
      <c r="C10" s="68" t="s">
        <v>42</v>
      </c>
      <c r="D10" s="184" t="s">
        <v>31</v>
      </c>
      <c r="E10" s="184"/>
      <c r="F10" s="149" t="s">
        <v>32</v>
      </c>
      <c r="G10" s="150" t="s">
        <v>33</v>
      </c>
      <c r="H10" s="150"/>
      <c r="I10" s="150"/>
    </row>
    <row r="11" spans="1:17">
      <c r="A11" s="146" t="s">
        <v>34</v>
      </c>
      <c r="B11" s="146"/>
      <c r="C11" s="69" t="s">
        <v>14</v>
      </c>
      <c r="D11" s="185"/>
      <c r="E11" s="185"/>
      <c r="F11" s="149"/>
      <c r="G11" s="186">
        <v>0</v>
      </c>
      <c r="H11" s="186"/>
      <c r="I11" s="186"/>
    </row>
    <row r="12" spans="1:17">
      <c r="A12" s="146" t="s">
        <v>35</v>
      </c>
      <c r="B12" s="146"/>
      <c r="C12" s="69" t="s">
        <v>14</v>
      </c>
      <c r="D12" s="185"/>
      <c r="E12" s="185"/>
      <c r="F12" s="149"/>
      <c r="G12" s="186"/>
      <c r="H12" s="186"/>
      <c r="I12" s="186"/>
      <c r="K12" s="145"/>
      <c r="L12" s="145"/>
      <c r="M12" s="145"/>
      <c r="N12" s="145"/>
    </row>
    <row r="13" spans="1:17" ht="18.75">
      <c r="A13" s="146"/>
      <c r="B13" s="146"/>
      <c r="C13" s="146"/>
      <c r="D13" s="180">
        <f>+D11-D12</f>
        <v>0</v>
      </c>
      <c r="E13" s="180"/>
      <c r="F13" s="147"/>
      <c r="G13" s="147"/>
      <c r="H13" s="147"/>
      <c r="I13" s="147"/>
      <c r="J13" s="181"/>
      <c r="K13" s="181"/>
    </row>
    <row r="14" spans="1:17">
      <c r="A14" s="148"/>
      <c r="B14" s="148"/>
      <c r="C14" s="148"/>
      <c r="D14" s="148"/>
      <c r="E14" s="148"/>
      <c r="F14" s="148"/>
      <c r="G14" s="148"/>
      <c r="H14" s="148"/>
      <c r="I14" s="148"/>
      <c r="K14" s="70"/>
    </row>
    <row r="15" spans="1:17">
      <c r="A15" s="159" t="s">
        <v>46</v>
      </c>
      <c r="B15" s="159"/>
      <c r="C15" s="159"/>
      <c r="D15" s="159"/>
      <c r="E15" s="159"/>
      <c r="F15" s="159"/>
      <c r="G15" s="159"/>
      <c r="H15" s="159"/>
      <c r="I15" s="159"/>
      <c r="J15" s="2"/>
      <c r="K15" s="2"/>
    </row>
    <row r="16" spans="1:17">
      <c r="A16" s="83" t="s">
        <v>21</v>
      </c>
      <c r="B16" s="71" t="s">
        <v>36</v>
      </c>
      <c r="C16" s="182" t="s">
        <v>38</v>
      </c>
      <c r="D16" s="182"/>
      <c r="E16" s="182"/>
      <c r="F16" s="182"/>
      <c r="G16" s="182"/>
      <c r="H16" s="183" t="s">
        <v>37</v>
      </c>
      <c r="I16" s="183"/>
      <c r="J16" s="2"/>
      <c r="K16" s="73"/>
      <c r="N16" s="3">
        <v>45904</v>
      </c>
      <c r="O16" s="4" t="s">
        <v>13</v>
      </c>
      <c r="P16" t="s">
        <v>3</v>
      </c>
      <c r="Q16">
        <v>462.87</v>
      </c>
    </row>
    <row r="17" spans="1:17">
      <c r="A17" s="80">
        <v>45680</v>
      </c>
      <c r="B17" s="81"/>
      <c r="C17" s="174"/>
      <c r="D17" s="175"/>
      <c r="E17" s="175"/>
      <c r="F17" s="175"/>
      <c r="G17" s="176"/>
      <c r="H17" s="177"/>
      <c r="I17" s="177"/>
      <c r="J17" s="2"/>
      <c r="K17" s="73"/>
      <c r="N17" s="3">
        <v>45924</v>
      </c>
      <c r="O17" s="4" t="s">
        <v>4</v>
      </c>
      <c r="P17" t="s">
        <v>5</v>
      </c>
      <c r="Q17">
        <v>1605.9</v>
      </c>
    </row>
    <row r="18" spans="1:17">
      <c r="A18" s="80">
        <v>45688</v>
      </c>
      <c r="B18" s="81"/>
      <c r="C18" s="174"/>
      <c r="D18" s="175"/>
      <c r="E18" s="175"/>
      <c r="F18" s="175"/>
      <c r="G18" s="176"/>
      <c r="H18" s="177"/>
      <c r="I18" s="177"/>
      <c r="J18" s="2"/>
      <c r="K18" s="73"/>
      <c r="N18" s="3">
        <v>45929</v>
      </c>
      <c r="O18" s="4" t="s">
        <v>6</v>
      </c>
      <c r="P18" t="s">
        <v>7</v>
      </c>
      <c r="Q18">
        <v>2910</v>
      </c>
    </row>
    <row r="19" spans="1:17">
      <c r="A19" s="80"/>
      <c r="B19" s="81"/>
      <c r="C19" s="174"/>
      <c r="D19" s="175"/>
      <c r="E19" s="175"/>
      <c r="F19" s="175"/>
      <c r="G19" s="176"/>
      <c r="H19" s="177"/>
      <c r="I19" s="177"/>
      <c r="J19" s="2"/>
      <c r="K19" s="73"/>
      <c r="N19" s="3">
        <v>45930</v>
      </c>
      <c r="O19" s="4" t="s">
        <v>8</v>
      </c>
      <c r="P19" t="s">
        <v>9</v>
      </c>
      <c r="Q19">
        <v>4959.5200000000004</v>
      </c>
    </row>
    <row r="20" spans="1:17">
      <c r="A20" s="80"/>
      <c r="B20" s="81"/>
      <c r="C20" s="174"/>
      <c r="D20" s="175"/>
      <c r="E20" s="175"/>
      <c r="F20" s="175"/>
      <c r="G20" s="176"/>
      <c r="H20" s="177"/>
      <c r="I20" s="177"/>
      <c r="J20" s="2"/>
      <c r="K20" s="73"/>
      <c r="N20" s="3">
        <v>45930</v>
      </c>
      <c r="O20" s="4" t="s">
        <v>10</v>
      </c>
      <c r="P20" t="s">
        <v>1</v>
      </c>
      <c r="Q20">
        <v>2845.09</v>
      </c>
    </row>
    <row r="21" spans="1:17">
      <c r="A21" s="80"/>
      <c r="B21" s="81"/>
      <c r="C21" s="174"/>
      <c r="D21" s="175"/>
      <c r="E21" s="175"/>
      <c r="F21" s="175"/>
      <c r="G21" s="176"/>
      <c r="H21" s="178"/>
      <c r="I21" s="179"/>
      <c r="J21" s="2"/>
      <c r="K21" s="73"/>
      <c r="N21" s="3">
        <v>45930</v>
      </c>
      <c r="O21" s="4" t="s">
        <v>11</v>
      </c>
      <c r="P21" t="s">
        <v>12</v>
      </c>
      <c r="Q21">
        <v>9893.9599999999991</v>
      </c>
    </row>
    <row r="22" spans="1:17">
      <c r="A22" s="80"/>
      <c r="B22" s="81"/>
      <c r="C22" s="174"/>
      <c r="D22" s="175"/>
      <c r="E22" s="175"/>
      <c r="F22" s="175"/>
      <c r="G22" s="176"/>
      <c r="H22" s="177"/>
      <c r="I22" s="177"/>
      <c r="J22" s="2"/>
      <c r="K22" s="73"/>
      <c r="N22" s="3">
        <v>45929.369120370371</v>
      </c>
      <c r="O22" s="4">
        <v>3073933877</v>
      </c>
      <c r="P22" t="s">
        <v>45</v>
      </c>
      <c r="Q22">
        <v>4335.88</v>
      </c>
    </row>
    <row r="23" spans="1:17">
      <c r="A23" s="80"/>
      <c r="B23" s="81"/>
      <c r="C23" s="174"/>
      <c r="D23" s="175"/>
      <c r="E23" s="175"/>
      <c r="F23" s="175"/>
      <c r="G23" s="176"/>
      <c r="H23" s="177"/>
      <c r="I23" s="177"/>
      <c r="J23" s="2"/>
    </row>
    <row r="24" spans="1:17">
      <c r="A24" s="72"/>
      <c r="B24" s="74"/>
      <c r="C24" s="166"/>
      <c r="D24" s="166"/>
      <c r="E24" s="166"/>
      <c r="F24" s="166"/>
      <c r="G24" s="166"/>
      <c r="H24" s="173"/>
      <c r="I24" s="173"/>
      <c r="J24" s="2"/>
    </row>
    <row r="25" spans="1:17">
      <c r="A25" s="72"/>
      <c r="B25" s="74"/>
      <c r="C25" s="166"/>
      <c r="D25" s="166"/>
      <c r="E25" s="166"/>
      <c r="F25" s="166"/>
      <c r="G25" s="166"/>
      <c r="H25" s="173"/>
      <c r="I25" s="173"/>
      <c r="J25" s="2"/>
    </row>
    <row r="26" spans="1:17">
      <c r="A26" s="72"/>
      <c r="B26" s="74"/>
      <c r="C26" s="166"/>
      <c r="D26" s="166"/>
      <c r="E26" s="166"/>
      <c r="F26" s="166"/>
      <c r="G26" s="166"/>
      <c r="H26" s="167"/>
      <c r="I26" s="167"/>
      <c r="J26" s="2"/>
      <c r="K26" s="1"/>
    </row>
    <row r="27" spans="1:17" ht="15.75">
      <c r="A27" s="72"/>
      <c r="B27" s="75"/>
      <c r="C27" s="166"/>
      <c r="D27" s="166"/>
      <c r="E27" s="166"/>
      <c r="F27" s="166"/>
      <c r="G27" s="166"/>
      <c r="H27" s="167"/>
      <c r="I27" s="167"/>
      <c r="J27" s="2"/>
      <c r="K27" s="1"/>
    </row>
    <row r="28" spans="1:17" ht="15.75">
      <c r="A28" s="72"/>
      <c r="B28" s="75"/>
      <c r="C28" s="166"/>
      <c r="D28" s="166"/>
      <c r="E28" s="166"/>
      <c r="F28" s="166"/>
      <c r="G28" s="166"/>
      <c r="H28" s="167"/>
      <c r="I28" s="167"/>
      <c r="J28" s="2"/>
      <c r="K28" s="1"/>
    </row>
    <row r="29" spans="1:17" ht="15.75">
      <c r="A29" s="168" t="s">
        <v>39</v>
      </c>
      <c r="B29" s="168"/>
      <c r="C29" s="168"/>
      <c r="D29" s="168"/>
      <c r="E29" s="168"/>
      <c r="F29" s="168"/>
      <c r="G29" s="168"/>
      <c r="H29" s="169">
        <f>+SUM(H17:I28)</f>
        <v>0</v>
      </c>
      <c r="I29" s="169"/>
    </row>
    <row r="30" spans="1:17">
      <c r="A30" s="170" t="s">
        <v>40</v>
      </c>
      <c r="B30" s="171"/>
      <c r="C30" s="171"/>
      <c r="D30" s="171"/>
      <c r="E30" s="172"/>
      <c r="F30" s="89" t="s">
        <v>49</v>
      </c>
      <c r="G30" s="89" t="s">
        <v>37</v>
      </c>
      <c r="H30" s="163"/>
      <c r="I30" s="164"/>
    </row>
    <row r="31" spans="1:17">
      <c r="A31" s="160" t="s">
        <v>50</v>
      </c>
      <c r="B31" s="161"/>
      <c r="C31" s="161"/>
      <c r="D31" s="161"/>
      <c r="E31" s="162"/>
      <c r="F31" s="87">
        <v>23</v>
      </c>
      <c r="G31" s="86">
        <v>197827.39</v>
      </c>
      <c r="H31" s="163"/>
      <c r="I31" s="164"/>
    </row>
    <row r="32" spans="1:17">
      <c r="A32" s="143" t="s">
        <v>48</v>
      </c>
      <c r="B32" s="143"/>
      <c r="C32" s="143"/>
      <c r="D32" s="143"/>
      <c r="E32" s="143"/>
      <c r="F32" s="82">
        <f>+COUNT(H17:I23)</f>
        <v>0</v>
      </c>
      <c r="G32" s="85">
        <f>+H29</f>
        <v>0</v>
      </c>
      <c r="H32" s="163"/>
      <c r="I32" s="164"/>
    </row>
    <row r="33" spans="1:20">
      <c r="A33" s="140" t="s">
        <v>47</v>
      </c>
      <c r="B33" s="140"/>
      <c r="C33" s="140"/>
      <c r="D33" s="140"/>
      <c r="E33" s="140"/>
      <c r="F33" s="88">
        <f>SUM(F31:F32)</f>
        <v>23</v>
      </c>
      <c r="G33" s="76">
        <f>SUM(G31:G32)</f>
        <v>197827.39</v>
      </c>
      <c r="H33" s="163"/>
      <c r="I33" s="165"/>
      <c r="O33" s="141"/>
      <c r="P33" s="141"/>
      <c r="Q33" s="141"/>
      <c r="R33" s="141"/>
      <c r="S33" s="141"/>
      <c r="T33" s="1"/>
    </row>
    <row r="34" spans="1:20" ht="29.25" customHeight="1">
      <c r="A34" s="138" t="s">
        <v>56</v>
      </c>
      <c r="B34" s="138"/>
      <c r="C34" s="138"/>
      <c r="D34" s="138"/>
      <c r="E34" s="138"/>
      <c r="F34" s="138"/>
      <c r="G34" s="138"/>
      <c r="H34" s="138"/>
      <c r="I34" s="138"/>
      <c r="M34" s="141"/>
      <c r="N34" s="141"/>
      <c r="O34" s="141"/>
      <c r="P34" s="141"/>
      <c r="Q34" s="141"/>
      <c r="R34" s="1"/>
    </row>
    <row r="35" spans="1:20" ht="29.25" customHeight="1">
      <c r="A35" s="138" t="s">
        <v>57</v>
      </c>
      <c r="B35" s="138"/>
      <c r="C35" s="138"/>
      <c r="D35" s="138"/>
      <c r="E35" s="138"/>
      <c r="F35" s="138"/>
      <c r="G35" s="138"/>
      <c r="H35" s="138"/>
      <c r="I35" s="138"/>
    </row>
    <row r="36" spans="1:20" ht="16.5" customHeight="1">
      <c r="A36" s="79"/>
      <c r="B36" s="78"/>
      <c r="C36" s="78"/>
      <c r="D36" s="78"/>
      <c r="E36" s="78"/>
      <c r="F36" s="78"/>
      <c r="G36" s="78"/>
      <c r="H36" s="78"/>
      <c r="I36" s="84"/>
      <c r="M36" s="141"/>
      <c r="N36" s="141"/>
      <c r="O36" s="141"/>
      <c r="P36" s="141"/>
      <c r="Q36" s="141"/>
      <c r="R36" s="1"/>
    </row>
    <row r="37" spans="1:20" ht="16.5" customHeight="1">
      <c r="A37" s="78"/>
      <c r="B37" s="78"/>
      <c r="C37" s="78"/>
      <c r="D37" s="78"/>
      <c r="E37" s="78"/>
      <c r="F37" s="78"/>
      <c r="G37" s="78"/>
      <c r="H37" s="78"/>
      <c r="I37" s="78"/>
    </row>
    <row r="38" spans="1:20" ht="16.5" customHeight="1">
      <c r="A38" s="78"/>
      <c r="B38" s="78"/>
      <c r="C38" s="78"/>
      <c r="D38" s="78"/>
      <c r="E38" s="78"/>
      <c r="F38" s="78"/>
      <c r="G38" s="78"/>
      <c r="H38" s="78"/>
      <c r="I38" s="78"/>
    </row>
    <row r="39" spans="1:20" ht="16.5" customHeight="1">
      <c r="A39" s="78"/>
      <c r="B39" s="78"/>
      <c r="C39" s="78"/>
      <c r="D39" s="78"/>
      <c r="E39" s="78"/>
      <c r="F39" s="78"/>
      <c r="G39" s="78"/>
      <c r="H39" s="78"/>
      <c r="I39" s="78"/>
    </row>
    <row r="40" spans="1:20" ht="16.5" customHeight="1">
      <c r="A40" s="78"/>
      <c r="B40" s="78"/>
      <c r="C40" s="78"/>
      <c r="D40" s="78"/>
      <c r="E40" s="78"/>
      <c r="F40" s="78"/>
      <c r="G40" s="78"/>
      <c r="H40" s="78"/>
      <c r="I40" s="78"/>
    </row>
    <row r="41" spans="1:20" ht="16.5" customHeight="1">
      <c r="A41" s="78"/>
      <c r="B41" s="78"/>
      <c r="C41" s="78"/>
      <c r="D41" s="78"/>
      <c r="E41" s="78"/>
      <c r="F41" s="78"/>
      <c r="G41" s="78"/>
      <c r="H41" s="78"/>
      <c r="I41" s="78"/>
    </row>
    <row r="42" spans="1:20" ht="16.5" customHeight="1">
      <c r="C42"/>
      <c r="D42"/>
      <c r="E42"/>
      <c r="F42"/>
      <c r="G42"/>
      <c r="H42"/>
      <c r="I42"/>
    </row>
    <row r="43" spans="1:20" ht="16.5" customHeight="1">
      <c r="C43"/>
      <c r="D43"/>
      <c r="E43"/>
      <c r="F43"/>
      <c r="G43"/>
      <c r="H43"/>
      <c r="I43"/>
    </row>
    <row r="44" spans="1:20" ht="16.5" customHeight="1">
      <c r="C44"/>
      <c r="D44"/>
      <c r="E44"/>
      <c r="F44"/>
      <c r="G44"/>
      <c r="H44"/>
      <c r="I44"/>
    </row>
    <row r="45" spans="1:20">
      <c r="H45" s="64"/>
      <c r="I45"/>
    </row>
    <row r="48" spans="1:20">
      <c r="F48"/>
      <c r="G48"/>
      <c r="H48"/>
    </row>
    <row r="49" spans="3:9">
      <c r="F49"/>
      <c r="G49"/>
      <c r="H49"/>
    </row>
    <row r="50" spans="3:9">
      <c r="C50"/>
      <c r="D50"/>
      <c r="E50"/>
      <c r="F50"/>
      <c r="G50"/>
      <c r="H50"/>
    </row>
    <row r="51" spans="3:9">
      <c r="C51"/>
      <c r="D51"/>
      <c r="E51"/>
      <c r="F51"/>
      <c r="G51"/>
      <c r="H51"/>
    </row>
    <row r="52" spans="3:9">
      <c r="C52"/>
      <c r="D52"/>
      <c r="E52"/>
      <c r="F52"/>
      <c r="G52"/>
      <c r="H52"/>
    </row>
    <row r="53" spans="3:9">
      <c r="C53"/>
      <c r="D53"/>
      <c r="E53"/>
      <c r="F53"/>
      <c r="G53"/>
      <c r="H53"/>
    </row>
    <row r="54" spans="3:9">
      <c r="C54"/>
      <c r="D54"/>
      <c r="E54"/>
      <c r="F54"/>
      <c r="G54"/>
      <c r="H54"/>
    </row>
    <row r="55" spans="3:9">
      <c r="C55"/>
      <c r="D55"/>
      <c r="E55"/>
      <c r="F55"/>
      <c r="G55"/>
      <c r="H55"/>
    </row>
    <row r="56" spans="3:9">
      <c r="C56"/>
      <c r="D56"/>
      <c r="E56"/>
      <c r="F56"/>
      <c r="G56"/>
      <c r="H56"/>
    </row>
    <row r="57" spans="3:9">
      <c r="C57"/>
      <c r="D57"/>
      <c r="E57"/>
      <c r="F57"/>
      <c r="G57"/>
      <c r="H57"/>
    </row>
    <row r="58" spans="3:9">
      <c r="C58"/>
      <c r="D58"/>
      <c r="E58"/>
      <c r="F58"/>
      <c r="G58"/>
      <c r="H58"/>
      <c r="I58"/>
    </row>
    <row r="59" spans="3:9">
      <c r="C59"/>
      <c r="D59"/>
      <c r="E59"/>
      <c r="F59"/>
      <c r="G59"/>
      <c r="H59"/>
      <c r="I59"/>
    </row>
    <row r="60" spans="3:9">
      <c r="C60"/>
      <c r="D60"/>
      <c r="E60"/>
      <c r="F60"/>
      <c r="G60"/>
      <c r="H60"/>
      <c r="I60"/>
    </row>
    <row r="61" spans="3:9">
      <c r="C61"/>
      <c r="D61"/>
      <c r="E61"/>
      <c r="F61"/>
      <c r="G61"/>
      <c r="H61"/>
      <c r="I61"/>
    </row>
    <row r="62" spans="3:9">
      <c r="C62"/>
      <c r="D62"/>
      <c r="E62"/>
      <c r="F62"/>
      <c r="G62"/>
      <c r="H62"/>
      <c r="I62"/>
    </row>
    <row r="63" spans="3:9">
      <c r="C63"/>
      <c r="D63"/>
      <c r="E63"/>
      <c r="F63"/>
      <c r="G63"/>
      <c r="H63"/>
      <c r="I63"/>
    </row>
    <row r="64" spans="3:9">
      <c r="C64"/>
      <c r="D64"/>
      <c r="E64"/>
      <c r="F64"/>
      <c r="G64"/>
      <c r="H64"/>
      <c r="I64"/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spans="3:9" customFormat="1"/>
    <row r="130" spans="3:9" customFormat="1"/>
    <row r="131" spans="3:9" customFormat="1"/>
    <row r="132" spans="3:9" customFormat="1"/>
    <row r="133" spans="3:9" customFormat="1"/>
    <row r="134" spans="3:9" customFormat="1"/>
    <row r="135" spans="3:9" customFormat="1"/>
    <row r="136" spans="3:9" customFormat="1"/>
    <row r="137" spans="3:9" customFormat="1"/>
    <row r="138" spans="3:9" customFormat="1"/>
    <row r="139" spans="3:9" customFormat="1"/>
    <row r="140" spans="3:9" customFormat="1"/>
    <row r="141" spans="3:9" customFormat="1"/>
    <row r="142" spans="3:9" customFormat="1"/>
    <row r="143" spans="3:9" customFormat="1"/>
    <row r="144" spans="3:9">
      <c r="C144"/>
      <c r="D144"/>
      <c r="E144"/>
      <c r="I144"/>
    </row>
    <row r="145" spans="1:10">
      <c r="C145"/>
      <c r="D145"/>
      <c r="E145"/>
      <c r="I145"/>
    </row>
    <row r="146" spans="1:10">
      <c r="I146"/>
    </row>
    <row r="147" spans="1:10">
      <c r="I147"/>
    </row>
    <row r="148" spans="1:10">
      <c r="I148"/>
    </row>
    <row r="149" spans="1:10">
      <c r="I149"/>
    </row>
    <row r="150" spans="1:10">
      <c r="I150"/>
    </row>
    <row r="151" spans="1:10">
      <c r="I151"/>
    </row>
    <row r="152" spans="1:10">
      <c r="I152"/>
    </row>
    <row r="153" spans="1:10">
      <c r="I153"/>
    </row>
    <row r="155" spans="1:10" s="1" customFormat="1">
      <c r="A155"/>
      <c r="B155"/>
      <c r="C155" s="77"/>
      <c r="D155" s="77"/>
      <c r="E155" s="77"/>
      <c r="F155" s="77"/>
      <c r="G155" s="77"/>
      <c r="H155" s="1" t="s">
        <v>41</v>
      </c>
      <c r="J155"/>
    </row>
    <row r="160" spans="1:10">
      <c r="F160"/>
      <c r="G160"/>
      <c r="H160"/>
    </row>
    <row r="161" spans="3:9">
      <c r="F161"/>
      <c r="G161"/>
      <c r="H161"/>
    </row>
    <row r="162" spans="3:9">
      <c r="C162"/>
      <c r="D162"/>
      <c r="E162"/>
      <c r="F162"/>
      <c r="G162"/>
      <c r="H162"/>
    </row>
    <row r="163" spans="3:9">
      <c r="C163"/>
      <c r="D163"/>
      <c r="E163"/>
      <c r="F163"/>
      <c r="G163"/>
      <c r="H163"/>
    </row>
    <row r="164" spans="3:9">
      <c r="C164"/>
      <c r="D164"/>
      <c r="E164"/>
      <c r="F164"/>
      <c r="G164"/>
      <c r="H164"/>
    </row>
    <row r="165" spans="3:9">
      <c r="C165"/>
      <c r="D165"/>
      <c r="E165"/>
      <c r="F165"/>
      <c r="G165"/>
      <c r="H165"/>
    </row>
    <row r="166" spans="3:9">
      <c r="C166"/>
      <c r="D166"/>
      <c r="E166"/>
      <c r="F166"/>
      <c r="G166"/>
      <c r="H166"/>
    </row>
    <row r="167" spans="3:9">
      <c r="C167"/>
      <c r="D167"/>
      <c r="E167"/>
      <c r="F167"/>
      <c r="G167"/>
      <c r="H167"/>
    </row>
    <row r="168" spans="3:9">
      <c r="C168"/>
      <c r="D168"/>
      <c r="E168"/>
      <c r="F168"/>
      <c r="G168"/>
      <c r="H168"/>
    </row>
    <row r="169" spans="3:9">
      <c r="C169"/>
      <c r="D169"/>
      <c r="E169"/>
      <c r="F169"/>
      <c r="G169"/>
      <c r="H169"/>
    </row>
    <row r="170" spans="3:9">
      <c r="C170"/>
      <c r="D170"/>
      <c r="E170"/>
      <c r="F170"/>
      <c r="G170"/>
      <c r="H170"/>
      <c r="I170"/>
    </row>
    <row r="171" spans="3:9">
      <c r="C171"/>
      <c r="D171"/>
      <c r="E171"/>
      <c r="F171"/>
      <c r="G171"/>
      <c r="H171"/>
      <c r="I171"/>
    </row>
    <row r="172" spans="3:9">
      <c r="C172"/>
      <c r="D172"/>
      <c r="E172"/>
      <c r="F172"/>
      <c r="G172"/>
      <c r="H172"/>
      <c r="I172"/>
    </row>
    <row r="173" spans="3:9">
      <c r="C173"/>
      <c r="D173"/>
      <c r="E173"/>
      <c r="F173"/>
      <c r="G173"/>
      <c r="H173"/>
      <c r="I173"/>
    </row>
    <row r="174" spans="3:9">
      <c r="C174"/>
      <c r="D174"/>
      <c r="E174"/>
      <c r="F174"/>
      <c r="G174"/>
      <c r="H174"/>
      <c r="I174"/>
    </row>
    <row r="175" spans="3:9">
      <c r="C175"/>
      <c r="D175"/>
      <c r="E175"/>
      <c r="F175"/>
      <c r="G175"/>
      <c r="H175"/>
      <c r="I175"/>
    </row>
    <row r="176" spans="3:9">
      <c r="C176"/>
      <c r="D176"/>
      <c r="E176"/>
      <c r="F176"/>
      <c r="G176"/>
      <c r="H176"/>
      <c r="I176"/>
    </row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spans="3:9" customFormat="1"/>
    <row r="418" spans="3:9" customFormat="1"/>
    <row r="419" spans="3:9" customFormat="1"/>
    <row r="420" spans="3:9" customFormat="1"/>
    <row r="421" spans="3:9" customFormat="1"/>
    <row r="422" spans="3:9" customFormat="1"/>
    <row r="423" spans="3:9" customFormat="1"/>
    <row r="424" spans="3:9" customFormat="1"/>
    <row r="425" spans="3:9" customFormat="1"/>
    <row r="426" spans="3:9" customFormat="1"/>
    <row r="427" spans="3:9" customFormat="1"/>
    <row r="428" spans="3:9" customFormat="1"/>
    <row r="429" spans="3:9" customFormat="1"/>
    <row r="430" spans="3:9" customFormat="1"/>
    <row r="431" spans="3:9">
      <c r="C431"/>
      <c r="D431"/>
      <c r="E431"/>
      <c r="I431"/>
    </row>
    <row r="432" spans="3:9" customFormat="1"/>
    <row r="433" spans="3:9">
      <c r="F433"/>
      <c r="G433"/>
      <c r="H433"/>
      <c r="I433"/>
    </row>
    <row r="434" spans="3:9">
      <c r="C434"/>
      <c r="D434"/>
      <c r="E434"/>
      <c r="F434"/>
      <c r="G434"/>
      <c r="H434"/>
      <c r="I434"/>
    </row>
    <row r="435" spans="3:9">
      <c r="C435"/>
      <c r="D435"/>
      <c r="E435"/>
      <c r="F435"/>
      <c r="G435"/>
      <c r="H435"/>
      <c r="I435"/>
    </row>
    <row r="436" spans="3:9">
      <c r="C436"/>
      <c r="D436"/>
      <c r="E436"/>
      <c r="F436"/>
      <c r="G436"/>
      <c r="H436"/>
      <c r="I436"/>
    </row>
    <row r="437" spans="3:9">
      <c r="C437"/>
      <c r="D437"/>
      <c r="E437"/>
      <c r="F437"/>
      <c r="G437"/>
      <c r="H437"/>
      <c r="I437"/>
    </row>
    <row r="438" spans="3:9">
      <c r="C438"/>
      <c r="D438"/>
      <c r="E438"/>
      <c r="F438"/>
      <c r="G438"/>
      <c r="H438"/>
      <c r="I438"/>
    </row>
    <row r="439" spans="3:9">
      <c r="C439"/>
      <c r="D439"/>
      <c r="E439"/>
      <c r="I439"/>
    </row>
    <row r="440" spans="3:9">
      <c r="C440"/>
      <c r="D440"/>
      <c r="E440"/>
      <c r="F440"/>
      <c r="G440"/>
      <c r="H440"/>
      <c r="I440"/>
    </row>
    <row r="441" spans="3:9">
      <c r="F441"/>
      <c r="G441"/>
      <c r="H441"/>
    </row>
    <row r="442" spans="3:9">
      <c r="C442"/>
      <c r="D442"/>
      <c r="E442"/>
      <c r="F442"/>
      <c r="G442"/>
      <c r="H442"/>
      <c r="I442"/>
    </row>
    <row r="443" spans="3:9">
      <c r="C443"/>
      <c r="D443"/>
      <c r="E443"/>
      <c r="F443"/>
      <c r="G443"/>
      <c r="H443"/>
      <c r="I443"/>
    </row>
    <row r="444" spans="3:9">
      <c r="C444"/>
      <c r="D444"/>
      <c r="E444"/>
      <c r="F444"/>
      <c r="G444"/>
      <c r="H444"/>
      <c r="I444"/>
    </row>
    <row r="445" spans="3:9">
      <c r="C445"/>
      <c r="D445"/>
      <c r="E445"/>
      <c r="F445"/>
      <c r="G445"/>
      <c r="H445"/>
      <c r="I445"/>
    </row>
    <row r="446" spans="3:9">
      <c r="C446"/>
      <c r="D446"/>
      <c r="E446"/>
      <c r="I446"/>
    </row>
    <row r="447" spans="3:9">
      <c r="C447"/>
      <c r="D447"/>
      <c r="E447"/>
      <c r="F447"/>
      <c r="G447"/>
      <c r="H447"/>
      <c r="I447"/>
    </row>
    <row r="448" spans="3:9">
      <c r="F448"/>
      <c r="G448"/>
      <c r="H448"/>
      <c r="I448"/>
    </row>
    <row r="449" spans="3:9">
      <c r="C449"/>
      <c r="D449"/>
      <c r="E449"/>
      <c r="F449"/>
      <c r="G449"/>
      <c r="H449"/>
    </row>
    <row r="450" spans="3:9">
      <c r="C450"/>
      <c r="D450"/>
      <c r="E450"/>
      <c r="F450"/>
      <c r="G450"/>
      <c r="H450"/>
      <c r="I450"/>
    </row>
    <row r="451" spans="3:9">
      <c r="C451"/>
      <c r="D451"/>
      <c r="E451"/>
      <c r="F451"/>
      <c r="G451"/>
      <c r="H451"/>
      <c r="I451"/>
    </row>
    <row r="452" spans="3:9">
      <c r="C452"/>
      <c r="D452"/>
      <c r="E452"/>
      <c r="F452"/>
      <c r="G452"/>
      <c r="H452"/>
      <c r="I452"/>
    </row>
    <row r="453" spans="3:9">
      <c r="C453"/>
      <c r="D453"/>
      <c r="E453"/>
      <c r="F453"/>
      <c r="G453"/>
      <c r="H453"/>
      <c r="I453"/>
    </row>
    <row r="454" spans="3:9">
      <c r="C454"/>
      <c r="D454"/>
      <c r="E454"/>
      <c r="F454"/>
      <c r="G454"/>
      <c r="H454"/>
      <c r="I454"/>
    </row>
    <row r="455" spans="3:9">
      <c r="C455"/>
      <c r="D455"/>
      <c r="E455"/>
      <c r="F455"/>
      <c r="G455"/>
      <c r="H455"/>
      <c r="I455"/>
    </row>
    <row r="456" spans="3:9">
      <c r="C456"/>
      <c r="D456"/>
      <c r="E456"/>
      <c r="F456"/>
      <c r="G456"/>
      <c r="H456"/>
    </row>
    <row r="457" spans="3:9">
      <c r="C457"/>
      <c r="D457"/>
      <c r="E457"/>
      <c r="F457"/>
      <c r="G457"/>
      <c r="H457"/>
      <c r="I457"/>
    </row>
    <row r="458" spans="3:9">
      <c r="C458"/>
      <c r="D458"/>
      <c r="E458"/>
      <c r="F458"/>
      <c r="G458"/>
      <c r="H458"/>
      <c r="I458"/>
    </row>
    <row r="459" spans="3:9">
      <c r="C459"/>
      <c r="D459"/>
      <c r="E459"/>
      <c r="F459"/>
      <c r="G459"/>
      <c r="H459"/>
      <c r="I459"/>
    </row>
    <row r="460" spans="3:9">
      <c r="C460"/>
      <c r="D460"/>
      <c r="E460"/>
      <c r="F460"/>
      <c r="G460"/>
      <c r="H460"/>
      <c r="I460"/>
    </row>
    <row r="461" spans="3:9">
      <c r="C461"/>
      <c r="D461"/>
      <c r="E461"/>
      <c r="F461"/>
      <c r="G461"/>
      <c r="H461"/>
      <c r="I461"/>
    </row>
    <row r="462" spans="3:9">
      <c r="C462"/>
      <c r="D462"/>
      <c r="E462"/>
      <c r="F462"/>
      <c r="G462"/>
      <c r="H462"/>
      <c r="I462"/>
    </row>
    <row r="463" spans="3:9">
      <c r="C463"/>
      <c r="D463"/>
      <c r="E463"/>
      <c r="F463"/>
      <c r="G463"/>
      <c r="H463"/>
      <c r="I463"/>
    </row>
    <row r="464" spans="3:9">
      <c r="C464"/>
      <c r="D464"/>
      <c r="E464"/>
      <c r="F464"/>
      <c r="G464"/>
      <c r="H464"/>
      <c r="I464"/>
    </row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spans="3:9" customFormat="1"/>
    <row r="530" spans="3:9" customFormat="1"/>
    <row r="531" spans="3:9" customFormat="1"/>
    <row r="532" spans="3:9" customFormat="1"/>
    <row r="533" spans="3:9" customFormat="1"/>
    <row r="534" spans="3:9" customFormat="1"/>
    <row r="535" spans="3:9" customFormat="1"/>
    <row r="536" spans="3:9" customFormat="1"/>
    <row r="537" spans="3:9" customFormat="1"/>
    <row r="538" spans="3:9" customFormat="1"/>
    <row r="539" spans="3:9" customFormat="1"/>
    <row r="540" spans="3:9" customFormat="1"/>
    <row r="541" spans="3:9" customFormat="1"/>
    <row r="542" spans="3:9" customFormat="1"/>
    <row r="543" spans="3:9">
      <c r="C543"/>
      <c r="D543"/>
      <c r="E543"/>
      <c r="I543"/>
    </row>
    <row r="544" spans="3:9">
      <c r="C544"/>
      <c r="D544"/>
      <c r="E544"/>
      <c r="I544"/>
    </row>
    <row r="545" spans="3:9">
      <c r="I545"/>
    </row>
    <row r="546" spans="3:9">
      <c r="I546"/>
    </row>
    <row r="547" spans="3:9">
      <c r="I547"/>
    </row>
    <row r="548" spans="3:9">
      <c r="I548"/>
    </row>
    <row r="549" spans="3:9">
      <c r="I549"/>
    </row>
    <row r="550" spans="3:9">
      <c r="I550"/>
    </row>
    <row r="551" spans="3:9">
      <c r="I551"/>
    </row>
    <row r="552" spans="3:9">
      <c r="I552"/>
    </row>
    <row r="558" spans="3:9">
      <c r="F558"/>
      <c r="G558"/>
      <c r="H558"/>
    </row>
    <row r="560" spans="3:9">
      <c r="C560"/>
      <c r="D560"/>
      <c r="E560"/>
    </row>
    <row r="568" spans="3:9">
      <c r="F568"/>
      <c r="G568"/>
      <c r="H568"/>
      <c r="I568"/>
    </row>
    <row r="570" spans="3:9">
      <c r="C570"/>
      <c r="D570"/>
      <c r="E570"/>
    </row>
    <row r="578" spans="9:9">
      <c r="I578"/>
    </row>
  </sheetData>
  <mergeCells count="64">
    <mergeCell ref="A7:H7"/>
    <mergeCell ref="B2:H2"/>
    <mergeCell ref="A3:H3"/>
    <mergeCell ref="A4:H4"/>
    <mergeCell ref="A5:H5"/>
    <mergeCell ref="A6:H6"/>
    <mergeCell ref="E9:H9"/>
    <mergeCell ref="A10:B10"/>
    <mergeCell ref="D10:E10"/>
    <mergeCell ref="F10:F12"/>
    <mergeCell ref="G10:I10"/>
    <mergeCell ref="A11:B11"/>
    <mergeCell ref="D11:E11"/>
    <mergeCell ref="G11:I12"/>
    <mergeCell ref="A12:B12"/>
    <mergeCell ref="D12:E12"/>
    <mergeCell ref="C18:G18"/>
    <mergeCell ref="H18:I18"/>
    <mergeCell ref="K12:N12"/>
    <mergeCell ref="A13:C13"/>
    <mergeCell ref="D13:E13"/>
    <mergeCell ref="F13:I13"/>
    <mergeCell ref="J13:K13"/>
    <mergeCell ref="A14:I14"/>
    <mergeCell ref="A15:I15"/>
    <mergeCell ref="C16:G16"/>
    <mergeCell ref="H16:I16"/>
    <mergeCell ref="C17:G17"/>
    <mergeCell ref="H17:I17"/>
    <mergeCell ref="C19:G19"/>
    <mergeCell ref="H19:I19"/>
    <mergeCell ref="C20:G20"/>
    <mergeCell ref="H20:I20"/>
    <mergeCell ref="C21:G21"/>
    <mergeCell ref="H21:I21"/>
    <mergeCell ref="C22:G22"/>
    <mergeCell ref="H22:I22"/>
    <mergeCell ref="C23:G23"/>
    <mergeCell ref="H23:I23"/>
    <mergeCell ref="C24:G24"/>
    <mergeCell ref="H24:I24"/>
    <mergeCell ref="C25:G25"/>
    <mergeCell ref="H25:I25"/>
    <mergeCell ref="C26:G26"/>
    <mergeCell ref="H26:I26"/>
    <mergeCell ref="C27:G27"/>
    <mergeCell ref="H27:I27"/>
    <mergeCell ref="C28:G28"/>
    <mergeCell ref="H28:I28"/>
    <mergeCell ref="A29:G29"/>
    <mergeCell ref="H29:I29"/>
    <mergeCell ref="A30:E30"/>
    <mergeCell ref="H30:I30"/>
    <mergeCell ref="O33:S33"/>
    <mergeCell ref="M36:Q36"/>
    <mergeCell ref="A31:E31"/>
    <mergeCell ref="H31:I31"/>
    <mergeCell ref="A32:E32"/>
    <mergeCell ref="H32:I32"/>
    <mergeCell ref="A33:E33"/>
    <mergeCell ref="H33:I33"/>
    <mergeCell ref="A34:I34"/>
    <mergeCell ref="M34:Q34"/>
    <mergeCell ref="A35:I35"/>
  </mergeCells>
  <pageMargins left="0.7" right="0.7" top="0.75" bottom="0.75" header="0.3" footer="0.3"/>
  <pageSetup paperSize="9" scale="37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5"/>
  <sheetViews>
    <sheetView topLeftCell="D1" workbookViewId="0">
      <selection activeCell="E36" sqref="E36"/>
    </sheetView>
  </sheetViews>
  <sheetFormatPr baseColWidth="10" defaultRowHeight="14.25"/>
  <cols>
    <col min="1" max="1" width="11.42578125" style="5" hidden="1" customWidth="1"/>
    <col min="2" max="2" width="16.42578125" style="5" customWidth="1"/>
    <col min="3" max="3" width="38.7109375" style="23" customWidth="1"/>
    <col min="4" max="4" width="12.28515625" style="5" customWidth="1"/>
    <col min="5" max="5" width="14" style="5" customWidth="1"/>
    <col min="6" max="6" width="15.7109375" style="5" customWidth="1"/>
    <col min="7" max="7" width="14.7109375" style="5" customWidth="1"/>
    <col min="8" max="8" width="21.5703125" style="5" customWidth="1"/>
    <col min="9" max="9" width="15.28515625" style="5" bestFit="1" customWidth="1"/>
    <col min="10" max="254" width="11.42578125" style="5"/>
    <col min="255" max="255" width="0" style="5" hidden="1" customWidth="1"/>
    <col min="256" max="256" width="5.28515625" style="5" customWidth="1"/>
    <col min="257" max="257" width="8" style="5" customWidth="1"/>
    <col min="258" max="258" width="39.42578125" style="5" customWidth="1"/>
    <col min="259" max="259" width="4.85546875" style="5" customWidth="1"/>
    <col min="260" max="261" width="10.42578125" style="5" customWidth="1"/>
    <col min="262" max="262" width="8.140625" style="5" customWidth="1"/>
    <col min="263" max="510" width="11.42578125" style="5"/>
    <col min="511" max="511" width="0" style="5" hidden="1" customWidth="1"/>
    <col min="512" max="512" width="5.28515625" style="5" customWidth="1"/>
    <col min="513" max="513" width="8" style="5" customWidth="1"/>
    <col min="514" max="514" width="39.42578125" style="5" customWidth="1"/>
    <col min="515" max="515" width="4.85546875" style="5" customWidth="1"/>
    <col min="516" max="517" width="10.42578125" style="5" customWidth="1"/>
    <col min="518" max="518" width="8.140625" style="5" customWidth="1"/>
    <col min="519" max="766" width="11.42578125" style="5"/>
    <col min="767" max="767" width="0" style="5" hidden="1" customWidth="1"/>
    <col min="768" max="768" width="5.28515625" style="5" customWidth="1"/>
    <col min="769" max="769" width="8" style="5" customWidth="1"/>
    <col min="770" max="770" width="39.42578125" style="5" customWidth="1"/>
    <col min="771" max="771" width="4.85546875" style="5" customWidth="1"/>
    <col min="772" max="773" width="10.42578125" style="5" customWidth="1"/>
    <col min="774" max="774" width="8.140625" style="5" customWidth="1"/>
    <col min="775" max="1022" width="11.42578125" style="5"/>
    <col min="1023" max="1023" width="0" style="5" hidden="1" customWidth="1"/>
    <col min="1024" max="1024" width="5.28515625" style="5" customWidth="1"/>
    <col min="1025" max="1025" width="8" style="5" customWidth="1"/>
    <col min="1026" max="1026" width="39.42578125" style="5" customWidth="1"/>
    <col min="1027" max="1027" width="4.85546875" style="5" customWidth="1"/>
    <col min="1028" max="1029" width="10.42578125" style="5" customWidth="1"/>
    <col min="1030" max="1030" width="8.140625" style="5" customWidth="1"/>
    <col min="1031" max="1278" width="11.42578125" style="5"/>
    <col min="1279" max="1279" width="0" style="5" hidden="1" customWidth="1"/>
    <col min="1280" max="1280" width="5.28515625" style="5" customWidth="1"/>
    <col min="1281" max="1281" width="8" style="5" customWidth="1"/>
    <col min="1282" max="1282" width="39.42578125" style="5" customWidth="1"/>
    <col min="1283" max="1283" width="4.85546875" style="5" customWidth="1"/>
    <col min="1284" max="1285" width="10.42578125" style="5" customWidth="1"/>
    <col min="1286" max="1286" width="8.140625" style="5" customWidth="1"/>
    <col min="1287" max="1534" width="11.42578125" style="5"/>
    <col min="1535" max="1535" width="0" style="5" hidden="1" customWidth="1"/>
    <col min="1536" max="1536" width="5.28515625" style="5" customWidth="1"/>
    <col min="1537" max="1537" width="8" style="5" customWidth="1"/>
    <col min="1538" max="1538" width="39.42578125" style="5" customWidth="1"/>
    <col min="1539" max="1539" width="4.85546875" style="5" customWidth="1"/>
    <col min="1540" max="1541" width="10.42578125" style="5" customWidth="1"/>
    <col min="1542" max="1542" width="8.140625" style="5" customWidth="1"/>
    <col min="1543" max="1790" width="11.42578125" style="5"/>
    <col min="1791" max="1791" width="0" style="5" hidden="1" customWidth="1"/>
    <col min="1792" max="1792" width="5.28515625" style="5" customWidth="1"/>
    <col min="1793" max="1793" width="8" style="5" customWidth="1"/>
    <col min="1794" max="1794" width="39.42578125" style="5" customWidth="1"/>
    <col min="1795" max="1795" width="4.85546875" style="5" customWidth="1"/>
    <col min="1796" max="1797" width="10.42578125" style="5" customWidth="1"/>
    <col min="1798" max="1798" width="8.140625" style="5" customWidth="1"/>
    <col min="1799" max="2046" width="11.42578125" style="5"/>
    <col min="2047" max="2047" width="0" style="5" hidden="1" customWidth="1"/>
    <col min="2048" max="2048" width="5.28515625" style="5" customWidth="1"/>
    <col min="2049" max="2049" width="8" style="5" customWidth="1"/>
    <col min="2050" max="2050" width="39.42578125" style="5" customWidth="1"/>
    <col min="2051" max="2051" width="4.85546875" style="5" customWidth="1"/>
    <col min="2052" max="2053" width="10.42578125" style="5" customWidth="1"/>
    <col min="2054" max="2054" width="8.140625" style="5" customWidth="1"/>
    <col min="2055" max="2302" width="11.42578125" style="5"/>
    <col min="2303" max="2303" width="0" style="5" hidden="1" customWidth="1"/>
    <col min="2304" max="2304" width="5.28515625" style="5" customWidth="1"/>
    <col min="2305" max="2305" width="8" style="5" customWidth="1"/>
    <col min="2306" max="2306" width="39.42578125" style="5" customWidth="1"/>
    <col min="2307" max="2307" width="4.85546875" style="5" customWidth="1"/>
    <col min="2308" max="2309" width="10.42578125" style="5" customWidth="1"/>
    <col min="2310" max="2310" width="8.140625" style="5" customWidth="1"/>
    <col min="2311" max="2558" width="11.42578125" style="5"/>
    <col min="2559" max="2559" width="0" style="5" hidden="1" customWidth="1"/>
    <col min="2560" max="2560" width="5.28515625" style="5" customWidth="1"/>
    <col min="2561" max="2561" width="8" style="5" customWidth="1"/>
    <col min="2562" max="2562" width="39.42578125" style="5" customWidth="1"/>
    <col min="2563" max="2563" width="4.85546875" style="5" customWidth="1"/>
    <col min="2564" max="2565" width="10.42578125" style="5" customWidth="1"/>
    <col min="2566" max="2566" width="8.140625" style="5" customWidth="1"/>
    <col min="2567" max="2814" width="11.42578125" style="5"/>
    <col min="2815" max="2815" width="0" style="5" hidden="1" customWidth="1"/>
    <col min="2816" max="2816" width="5.28515625" style="5" customWidth="1"/>
    <col min="2817" max="2817" width="8" style="5" customWidth="1"/>
    <col min="2818" max="2818" width="39.42578125" style="5" customWidth="1"/>
    <col min="2819" max="2819" width="4.85546875" style="5" customWidth="1"/>
    <col min="2820" max="2821" width="10.42578125" style="5" customWidth="1"/>
    <col min="2822" max="2822" width="8.140625" style="5" customWidth="1"/>
    <col min="2823" max="3070" width="11.42578125" style="5"/>
    <col min="3071" max="3071" width="0" style="5" hidden="1" customWidth="1"/>
    <col min="3072" max="3072" width="5.28515625" style="5" customWidth="1"/>
    <col min="3073" max="3073" width="8" style="5" customWidth="1"/>
    <col min="3074" max="3074" width="39.42578125" style="5" customWidth="1"/>
    <col min="3075" max="3075" width="4.85546875" style="5" customWidth="1"/>
    <col min="3076" max="3077" width="10.42578125" style="5" customWidth="1"/>
    <col min="3078" max="3078" width="8.140625" style="5" customWidth="1"/>
    <col min="3079" max="3326" width="11.42578125" style="5"/>
    <col min="3327" max="3327" width="0" style="5" hidden="1" customWidth="1"/>
    <col min="3328" max="3328" width="5.28515625" style="5" customWidth="1"/>
    <col min="3329" max="3329" width="8" style="5" customWidth="1"/>
    <col min="3330" max="3330" width="39.42578125" style="5" customWidth="1"/>
    <col min="3331" max="3331" width="4.85546875" style="5" customWidth="1"/>
    <col min="3332" max="3333" width="10.42578125" style="5" customWidth="1"/>
    <col min="3334" max="3334" width="8.140625" style="5" customWidth="1"/>
    <col min="3335" max="3582" width="11.42578125" style="5"/>
    <col min="3583" max="3583" width="0" style="5" hidden="1" customWidth="1"/>
    <col min="3584" max="3584" width="5.28515625" style="5" customWidth="1"/>
    <col min="3585" max="3585" width="8" style="5" customWidth="1"/>
    <col min="3586" max="3586" width="39.42578125" style="5" customWidth="1"/>
    <col min="3587" max="3587" width="4.85546875" style="5" customWidth="1"/>
    <col min="3588" max="3589" width="10.42578125" style="5" customWidth="1"/>
    <col min="3590" max="3590" width="8.140625" style="5" customWidth="1"/>
    <col min="3591" max="3838" width="11.42578125" style="5"/>
    <col min="3839" max="3839" width="0" style="5" hidden="1" customWidth="1"/>
    <col min="3840" max="3840" width="5.28515625" style="5" customWidth="1"/>
    <col min="3841" max="3841" width="8" style="5" customWidth="1"/>
    <col min="3842" max="3842" width="39.42578125" style="5" customWidth="1"/>
    <col min="3843" max="3843" width="4.85546875" style="5" customWidth="1"/>
    <col min="3844" max="3845" width="10.42578125" style="5" customWidth="1"/>
    <col min="3846" max="3846" width="8.140625" style="5" customWidth="1"/>
    <col min="3847" max="4094" width="11.42578125" style="5"/>
    <col min="4095" max="4095" width="0" style="5" hidden="1" customWidth="1"/>
    <col min="4096" max="4096" width="5.28515625" style="5" customWidth="1"/>
    <col min="4097" max="4097" width="8" style="5" customWidth="1"/>
    <col min="4098" max="4098" width="39.42578125" style="5" customWidth="1"/>
    <col min="4099" max="4099" width="4.85546875" style="5" customWidth="1"/>
    <col min="4100" max="4101" width="10.42578125" style="5" customWidth="1"/>
    <col min="4102" max="4102" width="8.140625" style="5" customWidth="1"/>
    <col min="4103" max="4350" width="11.42578125" style="5"/>
    <col min="4351" max="4351" width="0" style="5" hidden="1" customWidth="1"/>
    <col min="4352" max="4352" width="5.28515625" style="5" customWidth="1"/>
    <col min="4353" max="4353" width="8" style="5" customWidth="1"/>
    <col min="4354" max="4354" width="39.42578125" style="5" customWidth="1"/>
    <col min="4355" max="4355" width="4.85546875" style="5" customWidth="1"/>
    <col min="4356" max="4357" width="10.42578125" style="5" customWidth="1"/>
    <col min="4358" max="4358" width="8.140625" style="5" customWidth="1"/>
    <col min="4359" max="4606" width="11.42578125" style="5"/>
    <col min="4607" max="4607" width="0" style="5" hidden="1" customWidth="1"/>
    <col min="4608" max="4608" width="5.28515625" style="5" customWidth="1"/>
    <col min="4609" max="4609" width="8" style="5" customWidth="1"/>
    <col min="4610" max="4610" width="39.42578125" style="5" customWidth="1"/>
    <col min="4611" max="4611" width="4.85546875" style="5" customWidth="1"/>
    <col min="4612" max="4613" width="10.42578125" style="5" customWidth="1"/>
    <col min="4614" max="4614" width="8.140625" style="5" customWidth="1"/>
    <col min="4615" max="4862" width="11.42578125" style="5"/>
    <col min="4863" max="4863" width="0" style="5" hidden="1" customWidth="1"/>
    <col min="4864" max="4864" width="5.28515625" style="5" customWidth="1"/>
    <col min="4865" max="4865" width="8" style="5" customWidth="1"/>
    <col min="4866" max="4866" width="39.42578125" style="5" customWidth="1"/>
    <col min="4867" max="4867" width="4.85546875" style="5" customWidth="1"/>
    <col min="4868" max="4869" width="10.42578125" style="5" customWidth="1"/>
    <col min="4870" max="4870" width="8.140625" style="5" customWidth="1"/>
    <col min="4871" max="5118" width="11.42578125" style="5"/>
    <col min="5119" max="5119" width="0" style="5" hidden="1" customWidth="1"/>
    <col min="5120" max="5120" width="5.28515625" style="5" customWidth="1"/>
    <col min="5121" max="5121" width="8" style="5" customWidth="1"/>
    <col min="5122" max="5122" width="39.42578125" style="5" customWidth="1"/>
    <col min="5123" max="5123" width="4.85546875" style="5" customWidth="1"/>
    <col min="5124" max="5125" width="10.42578125" style="5" customWidth="1"/>
    <col min="5126" max="5126" width="8.140625" style="5" customWidth="1"/>
    <col min="5127" max="5374" width="11.42578125" style="5"/>
    <col min="5375" max="5375" width="0" style="5" hidden="1" customWidth="1"/>
    <col min="5376" max="5376" width="5.28515625" style="5" customWidth="1"/>
    <col min="5377" max="5377" width="8" style="5" customWidth="1"/>
    <col min="5378" max="5378" width="39.42578125" style="5" customWidth="1"/>
    <col min="5379" max="5379" width="4.85546875" style="5" customWidth="1"/>
    <col min="5380" max="5381" width="10.42578125" style="5" customWidth="1"/>
    <col min="5382" max="5382" width="8.140625" style="5" customWidth="1"/>
    <col min="5383" max="5630" width="11.42578125" style="5"/>
    <col min="5631" max="5631" width="0" style="5" hidden="1" customWidth="1"/>
    <col min="5632" max="5632" width="5.28515625" style="5" customWidth="1"/>
    <col min="5633" max="5633" width="8" style="5" customWidth="1"/>
    <col min="5634" max="5634" width="39.42578125" style="5" customWidth="1"/>
    <col min="5635" max="5635" width="4.85546875" style="5" customWidth="1"/>
    <col min="5636" max="5637" width="10.42578125" style="5" customWidth="1"/>
    <col min="5638" max="5638" width="8.140625" style="5" customWidth="1"/>
    <col min="5639" max="5886" width="11.42578125" style="5"/>
    <col min="5887" max="5887" width="0" style="5" hidden="1" customWidth="1"/>
    <col min="5888" max="5888" width="5.28515625" style="5" customWidth="1"/>
    <col min="5889" max="5889" width="8" style="5" customWidth="1"/>
    <col min="5890" max="5890" width="39.42578125" style="5" customWidth="1"/>
    <col min="5891" max="5891" width="4.85546875" style="5" customWidth="1"/>
    <col min="5892" max="5893" width="10.42578125" style="5" customWidth="1"/>
    <col min="5894" max="5894" width="8.140625" style="5" customWidth="1"/>
    <col min="5895" max="6142" width="11.42578125" style="5"/>
    <col min="6143" max="6143" width="0" style="5" hidden="1" customWidth="1"/>
    <col min="6144" max="6144" width="5.28515625" style="5" customWidth="1"/>
    <col min="6145" max="6145" width="8" style="5" customWidth="1"/>
    <col min="6146" max="6146" width="39.42578125" style="5" customWidth="1"/>
    <col min="6147" max="6147" width="4.85546875" style="5" customWidth="1"/>
    <col min="6148" max="6149" width="10.42578125" style="5" customWidth="1"/>
    <col min="6150" max="6150" width="8.140625" style="5" customWidth="1"/>
    <col min="6151" max="6398" width="11.42578125" style="5"/>
    <col min="6399" max="6399" width="0" style="5" hidden="1" customWidth="1"/>
    <col min="6400" max="6400" width="5.28515625" style="5" customWidth="1"/>
    <col min="6401" max="6401" width="8" style="5" customWidth="1"/>
    <col min="6402" max="6402" width="39.42578125" style="5" customWidth="1"/>
    <col min="6403" max="6403" width="4.85546875" style="5" customWidth="1"/>
    <col min="6404" max="6405" width="10.42578125" style="5" customWidth="1"/>
    <col min="6406" max="6406" width="8.140625" style="5" customWidth="1"/>
    <col min="6407" max="6654" width="11.42578125" style="5"/>
    <col min="6655" max="6655" width="0" style="5" hidden="1" customWidth="1"/>
    <col min="6656" max="6656" width="5.28515625" style="5" customWidth="1"/>
    <col min="6657" max="6657" width="8" style="5" customWidth="1"/>
    <col min="6658" max="6658" width="39.42578125" style="5" customWidth="1"/>
    <col min="6659" max="6659" width="4.85546875" style="5" customWidth="1"/>
    <col min="6660" max="6661" width="10.42578125" style="5" customWidth="1"/>
    <col min="6662" max="6662" width="8.140625" style="5" customWidth="1"/>
    <col min="6663" max="6910" width="11.42578125" style="5"/>
    <col min="6911" max="6911" width="0" style="5" hidden="1" customWidth="1"/>
    <col min="6912" max="6912" width="5.28515625" style="5" customWidth="1"/>
    <col min="6913" max="6913" width="8" style="5" customWidth="1"/>
    <col min="6914" max="6914" width="39.42578125" style="5" customWidth="1"/>
    <col min="6915" max="6915" width="4.85546875" style="5" customWidth="1"/>
    <col min="6916" max="6917" width="10.42578125" style="5" customWidth="1"/>
    <col min="6918" max="6918" width="8.140625" style="5" customWidth="1"/>
    <col min="6919" max="7166" width="11.42578125" style="5"/>
    <col min="7167" max="7167" width="0" style="5" hidden="1" customWidth="1"/>
    <col min="7168" max="7168" width="5.28515625" style="5" customWidth="1"/>
    <col min="7169" max="7169" width="8" style="5" customWidth="1"/>
    <col min="7170" max="7170" width="39.42578125" style="5" customWidth="1"/>
    <col min="7171" max="7171" width="4.85546875" style="5" customWidth="1"/>
    <col min="7172" max="7173" width="10.42578125" style="5" customWidth="1"/>
    <col min="7174" max="7174" width="8.140625" style="5" customWidth="1"/>
    <col min="7175" max="7422" width="11.42578125" style="5"/>
    <col min="7423" max="7423" width="0" style="5" hidden="1" customWidth="1"/>
    <col min="7424" max="7424" width="5.28515625" style="5" customWidth="1"/>
    <col min="7425" max="7425" width="8" style="5" customWidth="1"/>
    <col min="7426" max="7426" width="39.42578125" style="5" customWidth="1"/>
    <col min="7427" max="7427" width="4.85546875" style="5" customWidth="1"/>
    <col min="7428" max="7429" width="10.42578125" style="5" customWidth="1"/>
    <col min="7430" max="7430" width="8.140625" style="5" customWidth="1"/>
    <col min="7431" max="7678" width="11.42578125" style="5"/>
    <col min="7679" max="7679" width="0" style="5" hidden="1" customWidth="1"/>
    <col min="7680" max="7680" width="5.28515625" style="5" customWidth="1"/>
    <col min="7681" max="7681" width="8" style="5" customWidth="1"/>
    <col min="7682" max="7682" width="39.42578125" style="5" customWidth="1"/>
    <col min="7683" max="7683" width="4.85546875" style="5" customWidth="1"/>
    <col min="7684" max="7685" width="10.42578125" style="5" customWidth="1"/>
    <col min="7686" max="7686" width="8.140625" style="5" customWidth="1"/>
    <col min="7687" max="7934" width="11.42578125" style="5"/>
    <col min="7935" max="7935" width="0" style="5" hidden="1" customWidth="1"/>
    <col min="7936" max="7936" width="5.28515625" style="5" customWidth="1"/>
    <col min="7937" max="7937" width="8" style="5" customWidth="1"/>
    <col min="7938" max="7938" width="39.42578125" style="5" customWidth="1"/>
    <col min="7939" max="7939" width="4.85546875" style="5" customWidth="1"/>
    <col min="7940" max="7941" width="10.42578125" style="5" customWidth="1"/>
    <col min="7942" max="7942" width="8.140625" style="5" customWidth="1"/>
    <col min="7943" max="8190" width="11.42578125" style="5"/>
    <col min="8191" max="8191" width="0" style="5" hidden="1" customWidth="1"/>
    <col min="8192" max="8192" width="5.28515625" style="5" customWidth="1"/>
    <col min="8193" max="8193" width="8" style="5" customWidth="1"/>
    <col min="8194" max="8194" width="39.42578125" style="5" customWidth="1"/>
    <col min="8195" max="8195" width="4.85546875" style="5" customWidth="1"/>
    <col min="8196" max="8197" width="10.42578125" style="5" customWidth="1"/>
    <col min="8198" max="8198" width="8.140625" style="5" customWidth="1"/>
    <col min="8199" max="8446" width="11.42578125" style="5"/>
    <col min="8447" max="8447" width="0" style="5" hidden="1" customWidth="1"/>
    <col min="8448" max="8448" width="5.28515625" style="5" customWidth="1"/>
    <col min="8449" max="8449" width="8" style="5" customWidth="1"/>
    <col min="8450" max="8450" width="39.42578125" style="5" customWidth="1"/>
    <col min="8451" max="8451" width="4.85546875" style="5" customWidth="1"/>
    <col min="8452" max="8453" width="10.42578125" style="5" customWidth="1"/>
    <col min="8454" max="8454" width="8.140625" style="5" customWidth="1"/>
    <col min="8455" max="8702" width="11.42578125" style="5"/>
    <col min="8703" max="8703" width="0" style="5" hidden="1" customWidth="1"/>
    <col min="8704" max="8704" width="5.28515625" style="5" customWidth="1"/>
    <col min="8705" max="8705" width="8" style="5" customWidth="1"/>
    <col min="8706" max="8706" width="39.42578125" style="5" customWidth="1"/>
    <col min="8707" max="8707" width="4.85546875" style="5" customWidth="1"/>
    <col min="8708" max="8709" width="10.42578125" style="5" customWidth="1"/>
    <col min="8710" max="8710" width="8.140625" style="5" customWidth="1"/>
    <col min="8711" max="8958" width="11.42578125" style="5"/>
    <col min="8959" max="8959" width="0" style="5" hidden="1" customWidth="1"/>
    <col min="8960" max="8960" width="5.28515625" style="5" customWidth="1"/>
    <col min="8961" max="8961" width="8" style="5" customWidth="1"/>
    <col min="8962" max="8962" width="39.42578125" style="5" customWidth="1"/>
    <col min="8963" max="8963" width="4.85546875" style="5" customWidth="1"/>
    <col min="8964" max="8965" width="10.42578125" style="5" customWidth="1"/>
    <col min="8966" max="8966" width="8.140625" style="5" customWidth="1"/>
    <col min="8967" max="9214" width="11.42578125" style="5"/>
    <col min="9215" max="9215" width="0" style="5" hidden="1" customWidth="1"/>
    <col min="9216" max="9216" width="5.28515625" style="5" customWidth="1"/>
    <col min="9217" max="9217" width="8" style="5" customWidth="1"/>
    <col min="9218" max="9218" width="39.42578125" style="5" customWidth="1"/>
    <col min="9219" max="9219" width="4.85546875" style="5" customWidth="1"/>
    <col min="9220" max="9221" width="10.42578125" style="5" customWidth="1"/>
    <col min="9222" max="9222" width="8.140625" style="5" customWidth="1"/>
    <col min="9223" max="9470" width="11.42578125" style="5"/>
    <col min="9471" max="9471" width="0" style="5" hidden="1" customWidth="1"/>
    <col min="9472" max="9472" width="5.28515625" style="5" customWidth="1"/>
    <col min="9473" max="9473" width="8" style="5" customWidth="1"/>
    <col min="9474" max="9474" width="39.42578125" style="5" customWidth="1"/>
    <col min="9475" max="9475" width="4.85546875" style="5" customWidth="1"/>
    <col min="9476" max="9477" width="10.42578125" style="5" customWidth="1"/>
    <col min="9478" max="9478" width="8.140625" style="5" customWidth="1"/>
    <col min="9479" max="9726" width="11.42578125" style="5"/>
    <col min="9727" max="9727" width="0" style="5" hidden="1" customWidth="1"/>
    <col min="9728" max="9728" width="5.28515625" style="5" customWidth="1"/>
    <col min="9729" max="9729" width="8" style="5" customWidth="1"/>
    <col min="9730" max="9730" width="39.42578125" style="5" customWidth="1"/>
    <col min="9731" max="9731" width="4.85546875" style="5" customWidth="1"/>
    <col min="9732" max="9733" width="10.42578125" style="5" customWidth="1"/>
    <col min="9734" max="9734" width="8.140625" style="5" customWidth="1"/>
    <col min="9735" max="9982" width="11.42578125" style="5"/>
    <col min="9983" max="9983" width="0" style="5" hidden="1" customWidth="1"/>
    <col min="9984" max="9984" width="5.28515625" style="5" customWidth="1"/>
    <col min="9985" max="9985" width="8" style="5" customWidth="1"/>
    <col min="9986" max="9986" width="39.42578125" style="5" customWidth="1"/>
    <col min="9987" max="9987" width="4.85546875" style="5" customWidth="1"/>
    <col min="9988" max="9989" width="10.42578125" style="5" customWidth="1"/>
    <col min="9990" max="9990" width="8.140625" style="5" customWidth="1"/>
    <col min="9991" max="10238" width="11.42578125" style="5"/>
    <col min="10239" max="10239" width="0" style="5" hidden="1" customWidth="1"/>
    <col min="10240" max="10240" width="5.28515625" style="5" customWidth="1"/>
    <col min="10241" max="10241" width="8" style="5" customWidth="1"/>
    <col min="10242" max="10242" width="39.42578125" style="5" customWidth="1"/>
    <col min="10243" max="10243" width="4.85546875" style="5" customWidth="1"/>
    <col min="10244" max="10245" width="10.42578125" style="5" customWidth="1"/>
    <col min="10246" max="10246" width="8.140625" style="5" customWidth="1"/>
    <col min="10247" max="10494" width="11.42578125" style="5"/>
    <col min="10495" max="10495" width="0" style="5" hidden="1" customWidth="1"/>
    <col min="10496" max="10496" width="5.28515625" style="5" customWidth="1"/>
    <col min="10497" max="10497" width="8" style="5" customWidth="1"/>
    <col min="10498" max="10498" width="39.42578125" style="5" customWidth="1"/>
    <col min="10499" max="10499" width="4.85546875" style="5" customWidth="1"/>
    <col min="10500" max="10501" width="10.42578125" style="5" customWidth="1"/>
    <col min="10502" max="10502" width="8.140625" style="5" customWidth="1"/>
    <col min="10503" max="10750" width="11.42578125" style="5"/>
    <col min="10751" max="10751" width="0" style="5" hidden="1" customWidth="1"/>
    <col min="10752" max="10752" width="5.28515625" style="5" customWidth="1"/>
    <col min="10753" max="10753" width="8" style="5" customWidth="1"/>
    <col min="10754" max="10754" width="39.42578125" style="5" customWidth="1"/>
    <col min="10755" max="10755" width="4.85546875" style="5" customWidth="1"/>
    <col min="10756" max="10757" width="10.42578125" style="5" customWidth="1"/>
    <col min="10758" max="10758" width="8.140625" style="5" customWidth="1"/>
    <col min="10759" max="11006" width="11.42578125" style="5"/>
    <col min="11007" max="11007" width="0" style="5" hidden="1" customWidth="1"/>
    <col min="11008" max="11008" width="5.28515625" style="5" customWidth="1"/>
    <col min="11009" max="11009" width="8" style="5" customWidth="1"/>
    <col min="11010" max="11010" width="39.42578125" style="5" customWidth="1"/>
    <col min="11011" max="11011" width="4.85546875" style="5" customWidth="1"/>
    <col min="11012" max="11013" width="10.42578125" style="5" customWidth="1"/>
    <col min="11014" max="11014" width="8.140625" style="5" customWidth="1"/>
    <col min="11015" max="11262" width="11.42578125" style="5"/>
    <col min="11263" max="11263" width="0" style="5" hidden="1" customWidth="1"/>
    <col min="11264" max="11264" width="5.28515625" style="5" customWidth="1"/>
    <col min="11265" max="11265" width="8" style="5" customWidth="1"/>
    <col min="11266" max="11266" width="39.42578125" style="5" customWidth="1"/>
    <col min="11267" max="11267" width="4.85546875" style="5" customWidth="1"/>
    <col min="11268" max="11269" width="10.42578125" style="5" customWidth="1"/>
    <col min="11270" max="11270" width="8.140625" style="5" customWidth="1"/>
    <col min="11271" max="11518" width="11.42578125" style="5"/>
    <col min="11519" max="11519" width="0" style="5" hidden="1" customWidth="1"/>
    <col min="11520" max="11520" width="5.28515625" style="5" customWidth="1"/>
    <col min="11521" max="11521" width="8" style="5" customWidth="1"/>
    <col min="11522" max="11522" width="39.42578125" style="5" customWidth="1"/>
    <col min="11523" max="11523" width="4.85546875" style="5" customWidth="1"/>
    <col min="11524" max="11525" width="10.42578125" style="5" customWidth="1"/>
    <col min="11526" max="11526" width="8.140625" style="5" customWidth="1"/>
    <col min="11527" max="11774" width="11.42578125" style="5"/>
    <col min="11775" max="11775" width="0" style="5" hidden="1" customWidth="1"/>
    <col min="11776" max="11776" width="5.28515625" style="5" customWidth="1"/>
    <col min="11777" max="11777" width="8" style="5" customWidth="1"/>
    <col min="11778" max="11778" width="39.42578125" style="5" customWidth="1"/>
    <col min="11779" max="11779" width="4.85546875" style="5" customWidth="1"/>
    <col min="11780" max="11781" width="10.42578125" style="5" customWidth="1"/>
    <col min="11782" max="11782" width="8.140625" style="5" customWidth="1"/>
    <col min="11783" max="12030" width="11.42578125" style="5"/>
    <col min="12031" max="12031" width="0" style="5" hidden="1" customWidth="1"/>
    <col min="12032" max="12032" width="5.28515625" style="5" customWidth="1"/>
    <col min="12033" max="12033" width="8" style="5" customWidth="1"/>
    <col min="12034" max="12034" width="39.42578125" style="5" customWidth="1"/>
    <col min="12035" max="12035" width="4.85546875" style="5" customWidth="1"/>
    <col min="12036" max="12037" width="10.42578125" style="5" customWidth="1"/>
    <col min="12038" max="12038" width="8.140625" style="5" customWidth="1"/>
    <col min="12039" max="12286" width="11.42578125" style="5"/>
    <col min="12287" max="12287" width="0" style="5" hidden="1" customWidth="1"/>
    <col min="12288" max="12288" width="5.28515625" style="5" customWidth="1"/>
    <col min="12289" max="12289" width="8" style="5" customWidth="1"/>
    <col min="12290" max="12290" width="39.42578125" style="5" customWidth="1"/>
    <col min="12291" max="12291" width="4.85546875" style="5" customWidth="1"/>
    <col min="12292" max="12293" width="10.42578125" style="5" customWidth="1"/>
    <col min="12294" max="12294" width="8.140625" style="5" customWidth="1"/>
    <col min="12295" max="12542" width="11.42578125" style="5"/>
    <col min="12543" max="12543" width="0" style="5" hidden="1" customWidth="1"/>
    <col min="12544" max="12544" width="5.28515625" style="5" customWidth="1"/>
    <col min="12545" max="12545" width="8" style="5" customWidth="1"/>
    <col min="12546" max="12546" width="39.42578125" style="5" customWidth="1"/>
    <col min="12547" max="12547" width="4.85546875" style="5" customWidth="1"/>
    <col min="12548" max="12549" width="10.42578125" style="5" customWidth="1"/>
    <col min="12550" max="12550" width="8.140625" style="5" customWidth="1"/>
    <col min="12551" max="12798" width="11.42578125" style="5"/>
    <col min="12799" max="12799" width="0" style="5" hidden="1" customWidth="1"/>
    <col min="12800" max="12800" width="5.28515625" style="5" customWidth="1"/>
    <col min="12801" max="12801" width="8" style="5" customWidth="1"/>
    <col min="12802" max="12802" width="39.42578125" style="5" customWidth="1"/>
    <col min="12803" max="12803" width="4.85546875" style="5" customWidth="1"/>
    <col min="12804" max="12805" width="10.42578125" style="5" customWidth="1"/>
    <col min="12806" max="12806" width="8.140625" style="5" customWidth="1"/>
    <col min="12807" max="13054" width="11.42578125" style="5"/>
    <col min="13055" max="13055" width="0" style="5" hidden="1" customWidth="1"/>
    <col min="13056" max="13056" width="5.28515625" style="5" customWidth="1"/>
    <col min="13057" max="13057" width="8" style="5" customWidth="1"/>
    <col min="13058" max="13058" width="39.42578125" style="5" customWidth="1"/>
    <col min="13059" max="13059" width="4.85546875" style="5" customWidth="1"/>
    <col min="13060" max="13061" width="10.42578125" style="5" customWidth="1"/>
    <col min="13062" max="13062" width="8.140625" style="5" customWidth="1"/>
    <col min="13063" max="13310" width="11.42578125" style="5"/>
    <col min="13311" max="13311" width="0" style="5" hidden="1" customWidth="1"/>
    <col min="13312" max="13312" width="5.28515625" style="5" customWidth="1"/>
    <col min="13313" max="13313" width="8" style="5" customWidth="1"/>
    <col min="13314" max="13314" width="39.42578125" style="5" customWidth="1"/>
    <col min="13315" max="13315" width="4.85546875" style="5" customWidth="1"/>
    <col min="13316" max="13317" width="10.42578125" style="5" customWidth="1"/>
    <col min="13318" max="13318" width="8.140625" style="5" customWidth="1"/>
    <col min="13319" max="13566" width="11.42578125" style="5"/>
    <col min="13567" max="13567" width="0" style="5" hidden="1" customWidth="1"/>
    <col min="13568" max="13568" width="5.28515625" style="5" customWidth="1"/>
    <col min="13569" max="13569" width="8" style="5" customWidth="1"/>
    <col min="13570" max="13570" width="39.42578125" style="5" customWidth="1"/>
    <col min="13571" max="13571" width="4.85546875" style="5" customWidth="1"/>
    <col min="13572" max="13573" width="10.42578125" style="5" customWidth="1"/>
    <col min="13574" max="13574" width="8.140625" style="5" customWidth="1"/>
    <col min="13575" max="13822" width="11.42578125" style="5"/>
    <col min="13823" max="13823" width="0" style="5" hidden="1" customWidth="1"/>
    <col min="13824" max="13824" width="5.28515625" style="5" customWidth="1"/>
    <col min="13825" max="13825" width="8" style="5" customWidth="1"/>
    <col min="13826" max="13826" width="39.42578125" style="5" customWidth="1"/>
    <col min="13827" max="13827" width="4.85546875" style="5" customWidth="1"/>
    <col min="13828" max="13829" width="10.42578125" style="5" customWidth="1"/>
    <col min="13830" max="13830" width="8.140625" style="5" customWidth="1"/>
    <col min="13831" max="14078" width="11.42578125" style="5"/>
    <col min="14079" max="14079" width="0" style="5" hidden="1" customWidth="1"/>
    <col min="14080" max="14080" width="5.28515625" style="5" customWidth="1"/>
    <col min="14081" max="14081" width="8" style="5" customWidth="1"/>
    <col min="14082" max="14082" width="39.42578125" style="5" customWidth="1"/>
    <col min="14083" max="14083" width="4.85546875" style="5" customWidth="1"/>
    <col min="14084" max="14085" width="10.42578125" style="5" customWidth="1"/>
    <col min="14086" max="14086" width="8.140625" style="5" customWidth="1"/>
    <col min="14087" max="14334" width="11.42578125" style="5"/>
    <col min="14335" max="14335" width="0" style="5" hidden="1" customWidth="1"/>
    <col min="14336" max="14336" width="5.28515625" style="5" customWidth="1"/>
    <col min="14337" max="14337" width="8" style="5" customWidth="1"/>
    <col min="14338" max="14338" width="39.42578125" style="5" customWidth="1"/>
    <col min="14339" max="14339" width="4.85546875" style="5" customWidth="1"/>
    <col min="14340" max="14341" width="10.42578125" style="5" customWidth="1"/>
    <col min="14342" max="14342" width="8.140625" style="5" customWidth="1"/>
    <col min="14343" max="14590" width="11.42578125" style="5"/>
    <col min="14591" max="14591" width="0" style="5" hidden="1" customWidth="1"/>
    <col min="14592" max="14592" width="5.28515625" style="5" customWidth="1"/>
    <col min="14593" max="14593" width="8" style="5" customWidth="1"/>
    <col min="14594" max="14594" width="39.42578125" style="5" customWidth="1"/>
    <col min="14595" max="14595" width="4.85546875" style="5" customWidth="1"/>
    <col min="14596" max="14597" width="10.42578125" style="5" customWidth="1"/>
    <col min="14598" max="14598" width="8.140625" style="5" customWidth="1"/>
    <col min="14599" max="14846" width="11.42578125" style="5"/>
    <col min="14847" max="14847" width="0" style="5" hidden="1" customWidth="1"/>
    <col min="14848" max="14848" width="5.28515625" style="5" customWidth="1"/>
    <col min="14849" max="14849" width="8" style="5" customWidth="1"/>
    <col min="14850" max="14850" width="39.42578125" style="5" customWidth="1"/>
    <col min="14851" max="14851" width="4.85546875" style="5" customWidth="1"/>
    <col min="14852" max="14853" width="10.42578125" style="5" customWidth="1"/>
    <col min="14854" max="14854" width="8.140625" style="5" customWidth="1"/>
    <col min="14855" max="15102" width="11.42578125" style="5"/>
    <col min="15103" max="15103" width="0" style="5" hidden="1" customWidth="1"/>
    <col min="15104" max="15104" width="5.28515625" style="5" customWidth="1"/>
    <col min="15105" max="15105" width="8" style="5" customWidth="1"/>
    <col min="15106" max="15106" width="39.42578125" style="5" customWidth="1"/>
    <col min="15107" max="15107" width="4.85546875" style="5" customWidth="1"/>
    <col min="15108" max="15109" width="10.42578125" style="5" customWidth="1"/>
    <col min="15110" max="15110" width="8.140625" style="5" customWidth="1"/>
    <col min="15111" max="15358" width="11.42578125" style="5"/>
    <col min="15359" max="15359" width="0" style="5" hidden="1" customWidth="1"/>
    <col min="15360" max="15360" width="5.28515625" style="5" customWidth="1"/>
    <col min="15361" max="15361" width="8" style="5" customWidth="1"/>
    <col min="15362" max="15362" width="39.42578125" style="5" customWidth="1"/>
    <col min="15363" max="15363" width="4.85546875" style="5" customWidth="1"/>
    <col min="15364" max="15365" width="10.42578125" style="5" customWidth="1"/>
    <col min="15366" max="15366" width="8.140625" style="5" customWidth="1"/>
    <col min="15367" max="15614" width="11.42578125" style="5"/>
    <col min="15615" max="15615" width="0" style="5" hidden="1" customWidth="1"/>
    <col min="15616" max="15616" width="5.28515625" style="5" customWidth="1"/>
    <col min="15617" max="15617" width="8" style="5" customWidth="1"/>
    <col min="15618" max="15618" width="39.42578125" style="5" customWidth="1"/>
    <col min="15619" max="15619" width="4.85546875" style="5" customWidth="1"/>
    <col min="15620" max="15621" width="10.42578125" style="5" customWidth="1"/>
    <col min="15622" max="15622" width="8.140625" style="5" customWidth="1"/>
    <col min="15623" max="15870" width="11.42578125" style="5"/>
    <col min="15871" max="15871" width="0" style="5" hidden="1" customWidth="1"/>
    <col min="15872" max="15872" width="5.28515625" style="5" customWidth="1"/>
    <col min="15873" max="15873" width="8" style="5" customWidth="1"/>
    <col min="15874" max="15874" width="39.42578125" style="5" customWidth="1"/>
    <col min="15875" max="15875" width="4.85546875" style="5" customWidth="1"/>
    <col min="15876" max="15877" width="10.42578125" style="5" customWidth="1"/>
    <col min="15878" max="15878" width="8.140625" style="5" customWidth="1"/>
    <col min="15879" max="16126" width="11.42578125" style="5"/>
    <col min="16127" max="16127" width="0" style="5" hidden="1" customWidth="1"/>
    <col min="16128" max="16128" width="5.28515625" style="5" customWidth="1"/>
    <col min="16129" max="16129" width="8" style="5" customWidth="1"/>
    <col min="16130" max="16130" width="39.42578125" style="5" customWidth="1"/>
    <col min="16131" max="16131" width="4.85546875" style="5" customWidth="1"/>
    <col min="16132" max="16133" width="10.42578125" style="5" customWidth="1"/>
    <col min="16134" max="16134" width="8.140625" style="5" customWidth="1"/>
    <col min="16135" max="16384" width="11.42578125" style="5"/>
  </cols>
  <sheetData>
    <row r="1" spans="1:7">
      <c r="C1" s="6"/>
    </row>
    <row r="2" spans="1:7" ht="15">
      <c r="A2" s="7" t="s">
        <v>15</v>
      </c>
      <c r="B2" s="154" t="s">
        <v>15</v>
      </c>
      <c r="C2" s="154"/>
      <c r="D2" s="154"/>
      <c r="E2" s="154"/>
      <c r="F2" s="154"/>
      <c r="G2" s="154"/>
    </row>
    <row r="3" spans="1:7" ht="15">
      <c r="A3" s="154" t="s">
        <v>16</v>
      </c>
      <c r="B3" s="154"/>
      <c r="C3" s="154"/>
      <c r="D3" s="154"/>
      <c r="E3" s="154"/>
      <c r="F3" s="154"/>
      <c r="G3" s="154"/>
    </row>
    <row r="4" spans="1:7" ht="15">
      <c r="A4" s="7"/>
      <c r="B4" s="154" t="s">
        <v>17</v>
      </c>
      <c r="C4" s="154"/>
      <c r="D4" s="154"/>
      <c r="E4" s="154"/>
      <c r="F4" s="154"/>
      <c r="G4" s="154"/>
    </row>
    <row r="5" spans="1:7" ht="15">
      <c r="A5" s="9"/>
      <c r="B5" s="153" t="s">
        <v>18</v>
      </c>
      <c r="C5" s="153"/>
      <c r="D5" s="153"/>
      <c r="E5" s="153"/>
      <c r="F5" s="153"/>
      <c r="G5" s="153"/>
    </row>
    <row r="6" spans="1:7" ht="15">
      <c r="A6" s="9"/>
      <c r="B6" s="153" t="s">
        <v>30</v>
      </c>
      <c r="C6" s="153"/>
      <c r="D6" s="153"/>
      <c r="E6" s="153"/>
      <c r="F6" s="153"/>
      <c r="G6" s="153"/>
    </row>
    <row r="7" spans="1:7" ht="15">
      <c r="A7" s="10"/>
      <c r="B7" s="153" t="s">
        <v>29</v>
      </c>
      <c r="C7" s="153"/>
      <c r="D7" s="153"/>
      <c r="E7" s="153"/>
      <c r="F7" s="153"/>
      <c r="G7" s="153"/>
    </row>
    <row r="9" spans="1:7" ht="15">
      <c r="B9" s="8"/>
      <c r="C9" s="11"/>
      <c r="D9" s="8"/>
      <c r="E9" s="8"/>
      <c r="F9" s="8"/>
      <c r="G9" s="12"/>
    </row>
    <row r="10" spans="1:7" ht="15">
      <c r="B10" s="60" t="s">
        <v>21</v>
      </c>
      <c r="C10" s="61" t="s">
        <v>22</v>
      </c>
      <c r="D10" s="60" t="s">
        <v>23</v>
      </c>
      <c r="E10" s="60" t="s">
        <v>24</v>
      </c>
      <c r="F10" s="60" t="s">
        <v>25</v>
      </c>
      <c r="G10" s="60" t="s">
        <v>0</v>
      </c>
    </row>
    <row r="11" spans="1:7" ht="15">
      <c r="B11" s="59" t="s">
        <v>26</v>
      </c>
      <c r="C11" s="58" t="s">
        <v>27</v>
      </c>
      <c r="D11" s="57"/>
      <c r="E11" s="56"/>
      <c r="F11" s="55"/>
      <c r="G11" s="54"/>
    </row>
    <row r="12" spans="1:7" ht="15.75">
      <c r="B12" s="53"/>
      <c r="C12" s="52" t="s">
        <v>28</v>
      </c>
      <c r="D12" s="51"/>
      <c r="E12" s="50"/>
      <c r="F12" s="49"/>
      <c r="G12" s="48">
        <v>28549.86</v>
      </c>
    </row>
    <row r="13" spans="1:7" ht="13.5" customHeight="1">
      <c r="B13" s="29"/>
      <c r="C13" s="38"/>
      <c r="D13" s="47"/>
      <c r="E13" s="46"/>
      <c r="F13" s="43"/>
      <c r="G13" s="34"/>
    </row>
    <row r="14" spans="1:7" ht="13.5" customHeight="1">
      <c r="B14" s="29"/>
      <c r="C14" s="38"/>
      <c r="D14" s="45"/>
      <c r="E14" s="46"/>
      <c r="F14" s="43"/>
      <c r="G14" s="34"/>
    </row>
    <row r="15" spans="1:7" ht="12.75" customHeight="1">
      <c r="B15" s="29"/>
      <c r="C15" s="38"/>
      <c r="D15" s="45"/>
      <c r="E15" s="44"/>
      <c r="F15" s="43"/>
      <c r="G15" s="34"/>
    </row>
    <row r="16" spans="1:7" ht="15" customHeight="1">
      <c r="B16" s="29"/>
      <c r="C16" s="38"/>
      <c r="D16" s="37"/>
      <c r="E16" s="36"/>
      <c r="F16" s="35"/>
      <c r="G16" s="34"/>
    </row>
    <row r="17" spans="2:7" ht="12.75" customHeight="1">
      <c r="B17" s="29"/>
      <c r="C17" s="38"/>
      <c r="D17" s="37"/>
      <c r="E17" s="36"/>
      <c r="F17" s="35"/>
      <c r="G17" s="34"/>
    </row>
    <row r="18" spans="2:7">
      <c r="B18" s="29"/>
      <c r="C18" s="38"/>
      <c r="D18" s="37"/>
      <c r="E18" s="36"/>
      <c r="F18" s="35"/>
      <c r="G18" s="34"/>
    </row>
    <row r="19" spans="2:7" ht="14.25" customHeight="1">
      <c r="B19" s="29"/>
      <c r="C19" s="38"/>
      <c r="D19" s="37"/>
      <c r="E19" s="36"/>
      <c r="F19" s="35"/>
      <c r="G19" s="34"/>
    </row>
    <row r="20" spans="2:7">
      <c r="B20" s="29"/>
      <c r="C20" s="38"/>
      <c r="D20" s="37"/>
      <c r="E20" s="36"/>
      <c r="F20" s="39"/>
      <c r="G20" s="34"/>
    </row>
    <row r="21" spans="2:7">
      <c r="B21" s="29"/>
      <c r="C21" s="38"/>
      <c r="D21" s="37"/>
      <c r="E21" s="43"/>
      <c r="F21" s="42"/>
      <c r="G21" s="41"/>
    </row>
    <row r="22" spans="2:7" ht="15">
      <c r="B22" s="29"/>
      <c r="C22" s="38"/>
      <c r="D22" s="40"/>
      <c r="E22" s="36"/>
      <c r="F22" s="35"/>
      <c r="G22" s="34"/>
    </row>
    <row r="23" spans="2:7">
      <c r="B23" s="29"/>
      <c r="C23" s="38"/>
      <c r="D23" s="37"/>
      <c r="E23" s="36"/>
      <c r="F23" s="35"/>
      <c r="G23" s="34"/>
    </row>
    <row r="24" spans="2:7" ht="17.25" customHeight="1">
      <c r="B24" s="29"/>
      <c r="C24" s="38"/>
      <c r="D24" s="37"/>
      <c r="E24" s="36"/>
      <c r="F24" s="35"/>
      <c r="G24" s="34"/>
    </row>
    <row r="25" spans="2:7">
      <c r="B25" s="29"/>
      <c r="C25" s="38"/>
      <c r="D25" s="37"/>
      <c r="E25" s="36"/>
      <c r="F25" s="35"/>
      <c r="G25" s="34"/>
    </row>
    <row r="26" spans="2:7">
      <c r="B26" s="29"/>
      <c r="C26" s="38"/>
      <c r="D26" s="37"/>
      <c r="E26" s="36"/>
      <c r="F26" s="35"/>
      <c r="G26" s="34"/>
    </row>
    <row r="27" spans="2:7">
      <c r="B27" s="29"/>
      <c r="C27" s="38"/>
      <c r="D27" s="37"/>
      <c r="E27" s="36"/>
      <c r="F27" s="35"/>
      <c r="G27" s="34"/>
    </row>
    <row r="28" spans="2:7">
      <c r="B28" s="29"/>
      <c r="C28" s="38"/>
      <c r="D28" s="37"/>
      <c r="E28" s="36"/>
      <c r="F28" s="35"/>
      <c r="G28" s="34"/>
    </row>
    <row r="29" spans="2:7">
      <c r="B29" s="29"/>
      <c r="C29" s="38"/>
      <c r="D29" s="37"/>
      <c r="E29" s="36"/>
      <c r="F29" s="39"/>
      <c r="G29" s="34"/>
    </row>
    <row r="30" spans="2:7">
      <c r="B30" s="29"/>
      <c r="C30" s="38"/>
      <c r="D30" s="37"/>
      <c r="E30" s="36"/>
      <c r="F30" s="35"/>
      <c r="G30" s="34"/>
    </row>
    <row r="31" spans="2:7">
      <c r="B31" s="29"/>
      <c r="C31" s="38"/>
      <c r="D31" s="37"/>
      <c r="E31" s="36"/>
      <c r="F31" s="35"/>
      <c r="G31" s="34"/>
    </row>
    <row r="32" spans="2:7">
      <c r="B32" s="29"/>
      <c r="C32" s="38"/>
      <c r="D32" s="37"/>
      <c r="E32" s="36"/>
      <c r="F32" s="35"/>
      <c r="G32" s="34"/>
    </row>
    <row r="33" spans="2:7">
      <c r="B33" s="29"/>
      <c r="C33" s="38"/>
      <c r="D33" s="37"/>
      <c r="E33" s="36"/>
      <c r="F33" s="35"/>
      <c r="G33" s="34"/>
    </row>
    <row r="34" spans="2:7">
      <c r="B34" s="29"/>
      <c r="C34" s="38"/>
      <c r="D34" s="37"/>
      <c r="E34" s="36"/>
      <c r="F34" s="35"/>
      <c r="G34" s="34"/>
    </row>
    <row r="35" spans="2:7">
      <c r="B35" s="29"/>
      <c r="C35" s="38"/>
      <c r="D35" s="37"/>
      <c r="E35" s="36"/>
      <c r="F35" s="35"/>
      <c r="G35" s="34"/>
    </row>
    <row r="36" spans="2:7">
      <c r="B36" s="29"/>
      <c r="C36" s="38"/>
      <c r="D36" s="37"/>
      <c r="E36" s="36"/>
      <c r="F36" s="35"/>
      <c r="G36" s="34"/>
    </row>
    <row r="37" spans="2:7">
      <c r="B37" s="29"/>
      <c r="C37" s="38"/>
      <c r="D37" s="37"/>
      <c r="E37" s="36"/>
      <c r="F37" s="35"/>
      <c r="G37" s="34"/>
    </row>
    <row r="38" spans="2:7" ht="15">
      <c r="B38" s="29"/>
      <c r="C38" s="28"/>
      <c r="D38" s="33"/>
      <c r="E38" s="32"/>
      <c r="F38" s="31"/>
      <c r="G38" s="30"/>
    </row>
    <row r="39" spans="2:7" ht="15" customHeight="1">
      <c r="B39" s="91"/>
      <c r="C39" s="92"/>
      <c r="D39" s="93"/>
      <c r="E39" s="94"/>
      <c r="F39" s="27"/>
      <c r="G39" s="95"/>
    </row>
    <row r="58" ht="13.5" customHeight="1"/>
    <row r="85" spans="3:3">
      <c r="C85" s="5"/>
    </row>
    <row r="86" spans="3:3">
      <c r="C86" s="5"/>
    </row>
    <row r="87" spans="3:3">
      <c r="C87" s="5"/>
    </row>
    <row r="88" spans="3:3">
      <c r="C88" s="5"/>
    </row>
    <row r="97" spans="8:8">
      <c r="H97" s="25"/>
    </row>
    <row r="98" spans="8:8">
      <c r="H98" s="25"/>
    </row>
    <row r="99" spans="8:8">
      <c r="H99" s="26"/>
    </row>
    <row r="100" spans="8:8">
      <c r="H100" s="26"/>
    </row>
    <row r="142" spans="8:8">
      <c r="H142" s="26"/>
    </row>
    <row r="143" spans="8:8">
      <c r="H143" s="26"/>
    </row>
    <row r="144" spans="8:8">
      <c r="H144" s="26"/>
    </row>
    <row r="145" spans="8:8">
      <c r="H145" s="26"/>
    </row>
  </sheetData>
  <mergeCells count="6">
    <mergeCell ref="B7:G7"/>
    <mergeCell ref="B2:G2"/>
    <mergeCell ref="A3:G3"/>
    <mergeCell ref="B4:G4"/>
    <mergeCell ref="B5:G5"/>
    <mergeCell ref="B6:G6"/>
  </mergeCells>
  <pageMargins left="0.25" right="0.25" top="0.75" bottom="0.75" header="0.3" footer="0.3"/>
  <pageSetup scale="9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D2F78-419D-470C-9F16-8CCEA166422D}">
  <dimension ref="A1:G338"/>
  <sheetViews>
    <sheetView workbookViewId="0">
      <selection activeCell="B2" sqref="B2:G336"/>
    </sheetView>
  </sheetViews>
  <sheetFormatPr baseColWidth="10" defaultRowHeight="15"/>
  <cols>
    <col min="1" max="1" width="11.42578125" style="3"/>
    <col min="2" max="2" width="13" style="3" customWidth="1"/>
    <col min="4" max="4" width="12" customWidth="1"/>
    <col min="5" max="5" width="7.7109375" customWidth="1"/>
    <col min="6" max="6" width="14" style="1" customWidth="1"/>
    <col min="7" max="7" width="13.5703125" customWidth="1"/>
  </cols>
  <sheetData>
    <row r="1" spans="1:7">
      <c r="A1" s="3" t="s">
        <v>21</v>
      </c>
      <c r="B1" s="3" t="s">
        <v>527</v>
      </c>
      <c r="C1" t="s">
        <v>22</v>
      </c>
      <c r="D1" t="s">
        <v>261</v>
      </c>
      <c r="E1" t="s">
        <v>528</v>
      </c>
      <c r="F1" s="1" t="s">
        <v>24</v>
      </c>
      <c r="G1" t="s">
        <v>25</v>
      </c>
    </row>
    <row r="2" spans="1:7">
      <c r="A2" s="3" t="s">
        <v>276</v>
      </c>
      <c r="B2" s="3">
        <f>+VALUE(A2)</f>
        <v>45778</v>
      </c>
      <c r="C2" t="s">
        <v>73</v>
      </c>
      <c r="D2" s="4" t="s">
        <v>506</v>
      </c>
      <c r="G2" s="189">
        <v>-40.75</v>
      </c>
    </row>
    <row r="3" spans="1:7">
      <c r="A3" s="3" t="s">
        <v>276</v>
      </c>
      <c r="B3" s="3">
        <f>+VALUE(A3)</f>
        <v>45778</v>
      </c>
      <c r="C3" t="s">
        <v>74</v>
      </c>
      <c r="D3" s="4" t="s">
        <v>526</v>
      </c>
      <c r="G3" s="189">
        <v>-0.5</v>
      </c>
    </row>
    <row r="4" spans="1:7">
      <c r="A4" s="3" t="s">
        <v>286</v>
      </c>
      <c r="B4" s="3">
        <f>+VALUE(A4)</f>
        <v>45779</v>
      </c>
      <c r="C4" t="s">
        <v>75</v>
      </c>
      <c r="D4" s="4" t="s">
        <v>288</v>
      </c>
      <c r="G4" s="189">
        <v>-7.34</v>
      </c>
    </row>
    <row r="5" spans="1:7">
      <c r="A5" s="3" t="s">
        <v>281</v>
      </c>
      <c r="B5" s="3">
        <f>+VALUE(A5)</f>
        <v>45782</v>
      </c>
      <c r="C5" t="s">
        <v>77</v>
      </c>
      <c r="D5" s="4" t="s">
        <v>324</v>
      </c>
      <c r="G5" s="189">
        <v>-20.97</v>
      </c>
    </row>
    <row r="6" spans="1:7">
      <c r="A6" s="3" t="s">
        <v>281</v>
      </c>
      <c r="B6" s="3">
        <f>+VALUE(A6)</f>
        <v>45782</v>
      </c>
      <c r="C6" t="s">
        <v>75</v>
      </c>
      <c r="D6" s="4" t="s">
        <v>302</v>
      </c>
      <c r="G6" s="189">
        <v>-15.1</v>
      </c>
    </row>
    <row r="7" spans="1:7">
      <c r="A7" s="3" t="s">
        <v>281</v>
      </c>
      <c r="B7" s="3">
        <f>+VALUE(A7)</f>
        <v>45782</v>
      </c>
      <c r="C7" t="s">
        <v>75</v>
      </c>
      <c r="D7" s="4" t="s">
        <v>300</v>
      </c>
      <c r="G7" s="189">
        <v>-7.55</v>
      </c>
    </row>
    <row r="8" spans="1:7">
      <c r="A8" s="190">
        <v>45770</v>
      </c>
      <c r="B8" s="190">
        <v>45782</v>
      </c>
      <c r="C8" s="187" t="s">
        <v>104</v>
      </c>
      <c r="D8" s="187" t="s">
        <v>150</v>
      </c>
      <c r="E8" s="187">
        <v>10914</v>
      </c>
      <c r="F8" s="188">
        <v>914.66</v>
      </c>
    </row>
    <row r="9" spans="1:7">
      <c r="A9" s="190">
        <v>45770</v>
      </c>
      <c r="B9" s="190">
        <v>45782</v>
      </c>
      <c r="C9" s="187" t="s">
        <v>66</v>
      </c>
      <c r="D9" s="187" t="s">
        <v>149</v>
      </c>
      <c r="E9" s="187">
        <v>10915</v>
      </c>
      <c r="F9" s="188">
        <v>1059.03</v>
      </c>
    </row>
    <row r="10" spans="1:7">
      <c r="A10" s="190">
        <v>45772</v>
      </c>
      <c r="B10" s="190">
        <v>45782</v>
      </c>
      <c r="C10" s="187" t="s">
        <v>66</v>
      </c>
      <c r="D10" s="187" t="s">
        <v>163</v>
      </c>
      <c r="E10" s="187">
        <v>10913</v>
      </c>
      <c r="F10" s="188">
        <v>1136.03</v>
      </c>
    </row>
    <row r="11" spans="1:7">
      <c r="A11" s="190">
        <v>45769</v>
      </c>
      <c r="B11" s="190">
        <v>45782</v>
      </c>
      <c r="C11" s="187" t="s">
        <v>103</v>
      </c>
      <c r="D11" s="187" t="s">
        <v>147</v>
      </c>
      <c r="E11" s="187">
        <v>10921</v>
      </c>
      <c r="F11" s="188">
        <v>1406.95</v>
      </c>
    </row>
    <row r="12" spans="1:7">
      <c r="A12" s="3" t="s">
        <v>274</v>
      </c>
      <c r="B12" s="3">
        <f>+VALUE(A12)</f>
        <v>45783</v>
      </c>
      <c r="C12" t="s">
        <v>73</v>
      </c>
      <c r="D12" s="4" t="s">
        <v>504</v>
      </c>
      <c r="G12" s="189">
        <v>-43.3</v>
      </c>
    </row>
    <row r="13" spans="1:7">
      <c r="A13" s="3" t="s">
        <v>274</v>
      </c>
      <c r="B13" s="3">
        <f>+VALUE(A13)</f>
        <v>45783</v>
      </c>
      <c r="C13" t="s">
        <v>73</v>
      </c>
      <c r="D13" s="4" t="s">
        <v>508</v>
      </c>
      <c r="G13" s="189">
        <v>-40.28</v>
      </c>
    </row>
    <row r="14" spans="1:7">
      <c r="A14" s="3" t="s">
        <v>274</v>
      </c>
      <c r="B14" s="3">
        <f>+VALUE(A14)</f>
        <v>45783</v>
      </c>
      <c r="C14" t="s">
        <v>75</v>
      </c>
      <c r="D14" s="4" t="s">
        <v>418</v>
      </c>
      <c r="G14" s="189">
        <v>-9.75</v>
      </c>
    </row>
    <row r="15" spans="1:7">
      <c r="A15" s="3" t="s">
        <v>283</v>
      </c>
      <c r="B15" s="3">
        <f>+VALUE(A15)</f>
        <v>45784</v>
      </c>
      <c r="C15" t="s">
        <v>75</v>
      </c>
      <c r="D15" s="4" t="s">
        <v>303</v>
      </c>
      <c r="G15" s="189">
        <v>-15.1</v>
      </c>
    </row>
    <row r="16" spans="1:7">
      <c r="A16" s="190">
        <v>45758</v>
      </c>
      <c r="B16" s="190">
        <v>45784</v>
      </c>
      <c r="C16" s="187" t="s">
        <v>142</v>
      </c>
      <c r="D16" s="187" t="s">
        <v>125</v>
      </c>
      <c r="E16" s="187">
        <v>10925</v>
      </c>
      <c r="F16" s="188">
        <v>456.09</v>
      </c>
    </row>
    <row r="17" spans="1:6">
      <c r="A17" s="190">
        <v>45772</v>
      </c>
      <c r="B17" s="190">
        <v>45784</v>
      </c>
      <c r="C17" s="187" t="s">
        <v>66</v>
      </c>
      <c r="D17" s="187" t="s">
        <v>165</v>
      </c>
      <c r="E17" s="187">
        <v>10926</v>
      </c>
      <c r="F17" s="188">
        <v>460.45</v>
      </c>
    </row>
    <row r="18" spans="1:6">
      <c r="A18" s="190">
        <v>45772</v>
      </c>
      <c r="B18" s="190">
        <v>45784</v>
      </c>
      <c r="C18" s="187" t="s">
        <v>66</v>
      </c>
      <c r="D18" s="187" t="s">
        <v>164</v>
      </c>
      <c r="E18" s="187">
        <v>10926</v>
      </c>
      <c r="F18" s="188">
        <v>460.45</v>
      </c>
    </row>
    <row r="19" spans="1:6">
      <c r="A19" s="190">
        <v>45772</v>
      </c>
      <c r="B19" s="190">
        <v>45784</v>
      </c>
      <c r="C19" s="187" t="s">
        <v>66</v>
      </c>
      <c r="D19" s="187" t="s">
        <v>166</v>
      </c>
      <c r="E19" s="187">
        <v>10926</v>
      </c>
      <c r="F19" s="188">
        <v>460.45</v>
      </c>
    </row>
    <row r="20" spans="1:6">
      <c r="A20" s="190">
        <v>45770</v>
      </c>
      <c r="B20" s="190">
        <v>45784</v>
      </c>
      <c r="C20" s="187" t="s">
        <v>151</v>
      </c>
      <c r="D20" s="187" t="s">
        <v>130</v>
      </c>
      <c r="E20" s="187">
        <v>10925</v>
      </c>
      <c r="F20" s="188">
        <v>460.45</v>
      </c>
    </row>
    <row r="21" spans="1:6">
      <c r="A21" s="190">
        <v>45770</v>
      </c>
      <c r="B21" s="190">
        <v>45784</v>
      </c>
      <c r="C21" s="187" t="s">
        <v>60</v>
      </c>
      <c r="D21" s="187" t="s">
        <v>152</v>
      </c>
      <c r="E21" s="187">
        <v>10925</v>
      </c>
      <c r="F21" s="188">
        <v>460.45</v>
      </c>
    </row>
    <row r="22" spans="1:6">
      <c r="A22" s="190">
        <v>45779</v>
      </c>
      <c r="B22" s="190">
        <v>45784</v>
      </c>
      <c r="C22" s="187" t="s">
        <v>202</v>
      </c>
      <c r="D22" s="187" t="s">
        <v>288</v>
      </c>
      <c r="E22" s="187">
        <v>10926</v>
      </c>
      <c r="F22" s="188">
        <v>489.2</v>
      </c>
    </row>
    <row r="23" spans="1:6">
      <c r="A23" s="190">
        <v>45777</v>
      </c>
      <c r="B23" s="190">
        <v>45784</v>
      </c>
      <c r="C23" s="187" t="s">
        <v>104</v>
      </c>
      <c r="D23" s="187" t="s">
        <v>184</v>
      </c>
      <c r="E23" s="187">
        <v>10922</v>
      </c>
      <c r="F23" s="188">
        <v>637.28</v>
      </c>
    </row>
    <row r="24" spans="1:6">
      <c r="A24" s="190">
        <v>45777</v>
      </c>
      <c r="B24" s="190">
        <v>45784</v>
      </c>
      <c r="C24" s="187" t="s">
        <v>186</v>
      </c>
      <c r="D24" s="187" t="s">
        <v>185</v>
      </c>
      <c r="E24" s="187">
        <v>10931</v>
      </c>
      <c r="F24" s="188">
        <v>730</v>
      </c>
    </row>
    <row r="25" spans="1:6">
      <c r="A25" s="190">
        <v>45770</v>
      </c>
      <c r="B25" s="190">
        <v>45784</v>
      </c>
      <c r="C25" s="187" t="s">
        <v>66</v>
      </c>
      <c r="D25" s="187" t="s">
        <v>148</v>
      </c>
      <c r="E25" s="187">
        <v>10925</v>
      </c>
      <c r="F25" s="188">
        <v>920.2</v>
      </c>
    </row>
    <row r="26" spans="1:6">
      <c r="A26" s="190">
        <v>45772</v>
      </c>
      <c r="B26" s="190">
        <v>45784</v>
      </c>
      <c r="C26" s="187" t="s">
        <v>171</v>
      </c>
      <c r="D26" s="187" t="s">
        <v>170</v>
      </c>
      <c r="E26" s="187">
        <v>10925</v>
      </c>
      <c r="F26" s="188">
        <v>920.2</v>
      </c>
    </row>
    <row r="27" spans="1:6">
      <c r="A27" s="190">
        <v>45772</v>
      </c>
      <c r="B27" s="190">
        <v>45784</v>
      </c>
      <c r="C27" s="187" t="s">
        <v>66</v>
      </c>
      <c r="D27" s="187" t="s">
        <v>168</v>
      </c>
      <c r="E27" s="187">
        <v>10925</v>
      </c>
      <c r="F27" s="188">
        <v>920.9</v>
      </c>
    </row>
    <row r="28" spans="1:6">
      <c r="A28" s="190">
        <v>45772</v>
      </c>
      <c r="B28" s="190">
        <v>45784</v>
      </c>
      <c r="C28" s="187" t="s">
        <v>66</v>
      </c>
      <c r="D28" s="187" t="s">
        <v>167</v>
      </c>
      <c r="E28" s="187">
        <v>10925</v>
      </c>
      <c r="F28" s="188">
        <v>920.9</v>
      </c>
    </row>
    <row r="29" spans="1:6">
      <c r="A29" s="190">
        <v>45772</v>
      </c>
      <c r="B29" s="190">
        <v>45784</v>
      </c>
      <c r="C29" s="187" t="s">
        <v>66</v>
      </c>
      <c r="D29" s="187" t="s">
        <v>169</v>
      </c>
      <c r="E29" s="187">
        <v>10926</v>
      </c>
      <c r="F29" s="188">
        <v>920.9</v>
      </c>
    </row>
    <row r="30" spans="1:6">
      <c r="A30" s="190">
        <v>45770</v>
      </c>
      <c r="B30" s="190">
        <v>45784</v>
      </c>
      <c r="C30" s="187" t="s">
        <v>88</v>
      </c>
      <c r="D30" s="187" t="s">
        <v>153</v>
      </c>
      <c r="E30" s="187">
        <v>10925</v>
      </c>
      <c r="F30" s="188">
        <v>920.9</v>
      </c>
    </row>
    <row r="31" spans="1:6">
      <c r="A31" s="190">
        <v>45771</v>
      </c>
      <c r="B31" s="190">
        <v>45784</v>
      </c>
      <c r="C31" s="187" t="s">
        <v>88</v>
      </c>
      <c r="D31" s="187" t="s">
        <v>160</v>
      </c>
      <c r="E31" s="187">
        <v>10925</v>
      </c>
      <c r="F31" s="188">
        <v>920.9</v>
      </c>
    </row>
    <row r="32" spans="1:6">
      <c r="A32" s="190">
        <v>45772</v>
      </c>
      <c r="B32" s="190">
        <v>45784</v>
      </c>
      <c r="C32" s="187" t="s">
        <v>173</v>
      </c>
      <c r="D32" s="187" t="s">
        <v>172</v>
      </c>
      <c r="E32" s="187">
        <v>10926</v>
      </c>
      <c r="F32" s="188">
        <v>920.9</v>
      </c>
    </row>
    <row r="33" spans="1:6">
      <c r="A33" s="190">
        <v>45772</v>
      </c>
      <c r="B33" s="190">
        <v>45784</v>
      </c>
      <c r="C33" s="187" t="s">
        <v>115</v>
      </c>
      <c r="D33" s="187" t="s">
        <v>174</v>
      </c>
      <c r="E33" s="187">
        <v>10926</v>
      </c>
      <c r="F33" s="188">
        <v>921</v>
      </c>
    </row>
    <row r="34" spans="1:6">
      <c r="A34" s="190">
        <v>45775</v>
      </c>
      <c r="B34" s="190">
        <v>45784</v>
      </c>
      <c r="C34" s="187" t="s">
        <v>66</v>
      </c>
      <c r="D34" s="187" t="s">
        <v>458</v>
      </c>
      <c r="E34" s="187">
        <v>10926</v>
      </c>
      <c r="F34" s="188">
        <v>978.4</v>
      </c>
    </row>
    <row r="35" spans="1:6">
      <c r="A35" s="190">
        <v>45775</v>
      </c>
      <c r="B35" s="190">
        <v>45784</v>
      </c>
      <c r="C35" s="187" t="s">
        <v>66</v>
      </c>
      <c r="D35" s="187" t="s">
        <v>459</v>
      </c>
      <c r="E35" s="187">
        <v>10926</v>
      </c>
      <c r="F35" s="188">
        <v>978.4</v>
      </c>
    </row>
    <row r="36" spans="1:6">
      <c r="A36" s="190">
        <v>45777</v>
      </c>
      <c r="B36" s="190">
        <v>45784</v>
      </c>
      <c r="C36" s="187" t="s">
        <v>66</v>
      </c>
      <c r="D36" s="187" t="s">
        <v>182</v>
      </c>
      <c r="E36" s="187">
        <v>10926</v>
      </c>
      <c r="F36" s="188">
        <v>978.4</v>
      </c>
    </row>
    <row r="37" spans="1:6">
      <c r="A37" s="190">
        <v>45775</v>
      </c>
      <c r="B37" s="190">
        <v>45784</v>
      </c>
      <c r="C37" s="187" t="s">
        <v>62</v>
      </c>
      <c r="D37" s="187" t="s">
        <v>180</v>
      </c>
      <c r="E37" s="187">
        <v>10926</v>
      </c>
      <c r="F37" s="188">
        <v>1174.08</v>
      </c>
    </row>
    <row r="38" spans="1:6">
      <c r="A38" s="190">
        <v>45777</v>
      </c>
      <c r="B38" s="190">
        <v>45784</v>
      </c>
      <c r="C38" s="187" t="s">
        <v>107</v>
      </c>
      <c r="D38" s="187" t="s">
        <v>187</v>
      </c>
      <c r="E38" s="187">
        <v>10934</v>
      </c>
      <c r="F38" s="188">
        <v>1633.66</v>
      </c>
    </row>
    <row r="39" spans="1:6">
      <c r="A39" s="190">
        <v>45779</v>
      </c>
      <c r="B39" s="190">
        <v>45784</v>
      </c>
      <c r="C39" s="187" t="s">
        <v>113</v>
      </c>
      <c r="D39" s="187" t="s">
        <v>289</v>
      </c>
      <c r="E39" s="187">
        <v>10928</v>
      </c>
      <c r="F39" s="188">
        <v>1979.94</v>
      </c>
    </row>
    <row r="40" spans="1:6">
      <c r="A40" s="190">
        <v>45777</v>
      </c>
      <c r="B40" s="190">
        <v>45784</v>
      </c>
      <c r="C40" s="187" t="s">
        <v>92</v>
      </c>
      <c r="D40" s="187" t="s">
        <v>135</v>
      </c>
      <c r="E40" s="187">
        <v>10933</v>
      </c>
      <c r="F40" s="188">
        <v>1979.94</v>
      </c>
    </row>
    <row r="41" spans="1:6">
      <c r="A41" s="190">
        <v>45777</v>
      </c>
      <c r="B41" s="190">
        <v>45784</v>
      </c>
      <c r="C41" s="187" t="s">
        <v>188</v>
      </c>
      <c r="D41" s="187" t="s">
        <v>134</v>
      </c>
      <c r="E41" s="187">
        <v>10937</v>
      </c>
      <c r="F41" s="188">
        <v>2040</v>
      </c>
    </row>
    <row r="42" spans="1:6">
      <c r="A42" s="190">
        <v>45775</v>
      </c>
      <c r="B42" s="190">
        <v>45784</v>
      </c>
      <c r="C42" s="187" t="s">
        <v>66</v>
      </c>
      <c r="D42" s="187" t="s">
        <v>460</v>
      </c>
      <c r="E42" s="187">
        <v>10932</v>
      </c>
      <c r="F42" s="188">
        <v>2103.56</v>
      </c>
    </row>
    <row r="43" spans="1:6">
      <c r="A43" s="190">
        <v>45777</v>
      </c>
      <c r="B43" s="190">
        <v>45784</v>
      </c>
      <c r="C43" s="187" t="s">
        <v>72</v>
      </c>
      <c r="D43" s="187" t="s">
        <v>189</v>
      </c>
      <c r="E43" s="187">
        <v>10935</v>
      </c>
      <c r="F43" s="188">
        <v>2440.39</v>
      </c>
    </row>
    <row r="44" spans="1:6">
      <c r="A44" s="190">
        <v>45777</v>
      </c>
      <c r="B44" s="190">
        <v>45784</v>
      </c>
      <c r="C44" s="187" t="s">
        <v>93</v>
      </c>
      <c r="D44" s="187" t="s">
        <v>190</v>
      </c>
      <c r="E44" s="187">
        <v>10930</v>
      </c>
      <c r="F44" s="188">
        <v>2592.7600000000002</v>
      </c>
    </row>
    <row r="45" spans="1:6">
      <c r="A45" s="190">
        <v>45777</v>
      </c>
      <c r="B45" s="190">
        <v>45784</v>
      </c>
      <c r="C45" s="187" t="s">
        <v>191</v>
      </c>
      <c r="D45" s="187" t="s">
        <v>133</v>
      </c>
      <c r="E45" s="187">
        <v>10936</v>
      </c>
      <c r="F45" s="188">
        <v>3481.37</v>
      </c>
    </row>
    <row r="46" spans="1:6">
      <c r="A46" s="190">
        <v>45770</v>
      </c>
      <c r="B46" s="190">
        <v>45784</v>
      </c>
      <c r="C46" s="187" t="s">
        <v>154</v>
      </c>
      <c r="D46" s="187" t="s">
        <v>127</v>
      </c>
      <c r="E46" s="187">
        <v>10925</v>
      </c>
      <c r="F46" s="188">
        <v>3683.6</v>
      </c>
    </row>
    <row r="47" spans="1:6">
      <c r="A47" s="190">
        <v>45768</v>
      </c>
      <c r="B47" s="190">
        <v>45784</v>
      </c>
      <c r="C47" s="187" t="s">
        <v>146</v>
      </c>
      <c r="D47" s="187" t="s">
        <v>126</v>
      </c>
      <c r="E47" s="187">
        <v>10925</v>
      </c>
      <c r="F47" s="188">
        <v>3683.6</v>
      </c>
    </row>
    <row r="48" spans="1:6">
      <c r="A48" s="190">
        <v>45781</v>
      </c>
      <c r="B48" s="190">
        <v>45784</v>
      </c>
      <c r="C48" s="187" t="s">
        <v>203</v>
      </c>
      <c r="D48" s="187" t="s">
        <v>290</v>
      </c>
      <c r="E48" s="187">
        <v>10929</v>
      </c>
      <c r="F48" s="188">
        <v>6163.84</v>
      </c>
    </row>
    <row r="49" spans="1:7">
      <c r="A49" s="3" t="s">
        <v>280</v>
      </c>
      <c r="B49" s="3">
        <f>+VALUE(A49)</f>
        <v>45785</v>
      </c>
      <c r="C49" t="s">
        <v>77</v>
      </c>
      <c r="D49" s="4" t="s">
        <v>329</v>
      </c>
      <c r="G49" s="189">
        <v>-22.05</v>
      </c>
    </row>
    <row r="50" spans="1:7">
      <c r="A50" s="3" t="s">
        <v>280</v>
      </c>
      <c r="B50" s="3">
        <f>+VALUE(A50)</f>
        <v>45785</v>
      </c>
      <c r="C50" t="s">
        <v>75</v>
      </c>
      <c r="D50" s="4" t="s">
        <v>328</v>
      </c>
      <c r="G50" s="189">
        <v>-1.95</v>
      </c>
    </row>
    <row r="51" spans="1:7">
      <c r="A51" s="3" t="s">
        <v>264</v>
      </c>
      <c r="B51" s="3">
        <f>+VALUE(A51)</f>
        <v>45786</v>
      </c>
      <c r="C51" t="s">
        <v>265</v>
      </c>
      <c r="D51" s="4" t="s">
        <v>490</v>
      </c>
      <c r="G51" s="189">
        <v>-473000</v>
      </c>
    </row>
    <row r="52" spans="1:7">
      <c r="A52" s="3" t="s">
        <v>264</v>
      </c>
      <c r="B52" s="3">
        <f>+VALUE(A52)</f>
        <v>45786</v>
      </c>
      <c r="C52" t="s">
        <v>76</v>
      </c>
      <c r="D52" s="4" t="s">
        <v>490</v>
      </c>
      <c r="G52" s="189">
        <v>-1182.5</v>
      </c>
    </row>
    <row r="53" spans="1:7">
      <c r="A53" s="3" t="s">
        <v>264</v>
      </c>
      <c r="B53" s="3">
        <f>+VALUE(A53)</f>
        <v>45786</v>
      </c>
      <c r="C53" t="s">
        <v>75</v>
      </c>
      <c r="D53" s="4" t="s">
        <v>347</v>
      </c>
      <c r="G53" s="189">
        <v>-23.36</v>
      </c>
    </row>
    <row r="54" spans="1:7">
      <c r="A54" s="3" t="s">
        <v>264</v>
      </c>
      <c r="B54" s="3">
        <f>+VALUE(A54)</f>
        <v>45786</v>
      </c>
      <c r="C54" t="s">
        <v>75</v>
      </c>
      <c r="D54" s="4" t="s">
        <v>349</v>
      </c>
      <c r="G54" s="189">
        <v>-15.85</v>
      </c>
    </row>
    <row r="55" spans="1:7">
      <c r="A55" s="190">
        <v>45772</v>
      </c>
      <c r="B55" s="190">
        <v>45786</v>
      </c>
      <c r="C55" s="187" t="s">
        <v>87</v>
      </c>
      <c r="D55" s="187" t="s">
        <v>175</v>
      </c>
      <c r="E55" s="187">
        <v>10940</v>
      </c>
      <c r="F55" s="188">
        <v>375.03</v>
      </c>
    </row>
    <row r="56" spans="1:7">
      <c r="A56" s="190">
        <v>45777</v>
      </c>
      <c r="B56" s="190">
        <v>45786</v>
      </c>
      <c r="C56" s="187" t="s">
        <v>117</v>
      </c>
      <c r="D56" s="187" t="s">
        <v>192</v>
      </c>
      <c r="E56" s="187">
        <v>10942</v>
      </c>
      <c r="F56" s="188">
        <v>710</v>
      </c>
    </row>
    <row r="57" spans="1:7">
      <c r="A57" s="190">
        <v>45777</v>
      </c>
      <c r="B57" s="190">
        <v>45786</v>
      </c>
      <c r="C57" s="187" t="s">
        <v>193</v>
      </c>
      <c r="D57" s="187" t="s">
        <v>136</v>
      </c>
      <c r="E57" s="187">
        <v>10949</v>
      </c>
      <c r="F57" s="188">
        <v>812.67</v>
      </c>
    </row>
    <row r="58" spans="1:7">
      <c r="A58" s="190">
        <v>45770</v>
      </c>
      <c r="B58" s="190">
        <v>45786</v>
      </c>
      <c r="C58" s="187" t="s">
        <v>3</v>
      </c>
      <c r="D58" s="187" t="s">
        <v>155</v>
      </c>
      <c r="E58" s="187">
        <v>10953</v>
      </c>
      <c r="F58" s="188">
        <v>914.66</v>
      </c>
    </row>
    <row r="59" spans="1:7">
      <c r="A59" s="190">
        <v>45777</v>
      </c>
      <c r="B59" s="190">
        <v>45786</v>
      </c>
      <c r="C59" s="187" t="s">
        <v>66</v>
      </c>
      <c r="D59" s="187" t="s">
        <v>183</v>
      </c>
      <c r="E59" s="187">
        <v>10948</v>
      </c>
      <c r="F59" s="188">
        <v>1059.03</v>
      </c>
    </row>
    <row r="60" spans="1:7">
      <c r="A60" s="190">
        <v>45782</v>
      </c>
      <c r="B60" s="190">
        <v>45786</v>
      </c>
      <c r="C60" s="187" t="s">
        <v>66</v>
      </c>
      <c r="D60" s="187" t="s">
        <v>291</v>
      </c>
      <c r="E60" s="187">
        <v>10947</v>
      </c>
      <c r="F60" s="188">
        <v>1157.93</v>
      </c>
    </row>
    <row r="61" spans="1:7">
      <c r="A61" s="190">
        <v>45758</v>
      </c>
      <c r="B61" s="190">
        <v>45786</v>
      </c>
      <c r="C61" s="187" t="s">
        <v>117</v>
      </c>
      <c r="D61" s="187" t="s">
        <v>143</v>
      </c>
      <c r="E61" s="187">
        <v>10942</v>
      </c>
      <c r="F61" s="188">
        <v>1546.74</v>
      </c>
    </row>
    <row r="62" spans="1:7">
      <c r="A62" s="190">
        <v>45777</v>
      </c>
      <c r="B62" s="190">
        <v>45786</v>
      </c>
      <c r="C62" s="187" t="s">
        <v>118</v>
      </c>
      <c r="D62" s="187" t="s">
        <v>194</v>
      </c>
      <c r="E62" s="187">
        <v>10945</v>
      </c>
      <c r="F62" s="188">
        <v>1795.76</v>
      </c>
    </row>
    <row r="63" spans="1:7">
      <c r="A63" s="190">
        <v>45771</v>
      </c>
      <c r="B63" s="190">
        <v>45786</v>
      </c>
      <c r="C63" s="187" t="s">
        <v>87</v>
      </c>
      <c r="D63" s="187" t="s">
        <v>161</v>
      </c>
      <c r="E63" s="187">
        <v>10940</v>
      </c>
      <c r="F63" s="188">
        <v>1881.18</v>
      </c>
    </row>
    <row r="64" spans="1:7">
      <c r="A64" s="190">
        <v>45777</v>
      </c>
      <c r="B64" s="190">
        <v>45786</v>
      </c>
      <c r="C64" s="187" t="s">
        <v>79</v>
      </c>
      <c r="D64" s="187" t="s">
        <v>195</v>
      </c>
      <c r="E64" s="187">
        <v>10944</v>
      </c>
      <c r="F64" s="188">
        <v>1907.88</v>
      </c>
    </row>
    <row r="65" spans="1:7">
      <c r="A65" s="190">
        <v>45770</v>
      </c>
      <c r="B65" s="190">
        <v>45786</v>
      </c>
      <c r="C65" s="187" t="s">
        <v>119</v>
      </c>
      <c r="D65" s="187" t="s">
        <v>128</v>
      </c>
      <c r="E65" s="187">
        <v>10939</v>
      </c>
      <c r="F65" s="188">
        <v>2256.21</v>
      </c>
    </row>
    <row r="66" spans="1:7">
      <c r="A66" s="190">
        <v>45772</v>
      </c>
      <c r="B66" s="190">
        <v>45786</v>
      </c>
      <c r="C66" s="187" t="s">
        <v>122</v>
      </c>
      <c r="D66" s="187" t="s">
        <v>176</v>
      </c>
      <c r="E66" s="187">
        <v>10941</v>
      </c>
      <c r="F66" s="188">
        <v>2256.21</v>
      </c>
    </row>
    <row r="67" spans="1:7">
      <c r="A67" s="190">
        <v>45770</v>
      </c>
      <c r="B67" s="190">
        <v>45786</v>
      </c>
      <c r="C67" s="187" t="s">
        <v>97</v>
      </c>
      <c r="D67" s="187" t="s">
        <v>156</v>
      </c>
      <c r="E67" s="187">
        <v>10938</v>
      </c>
      <c r="F67" s="188">
        <v>2256.21</v>
      </c>
    </row>
    <row r="68" spans="1:7">
      <c r="A68" s="190">
        <v>45776</v>
      </c>
      <c r="B68" s="190">
        <v>45786</v>
      </c>
      <c r="C68" s="187" t="s">
        <v>101</v>
      </c>
      <c r="D68" s="187" t="s">
        <v>181</v>
      </c>
      <c r="E68" s="187">
        <v>10943</v>
      </c>
      <c r="F68" s="188">
        <v>2440.39</v>
      </c>
    </row>
    <row r="69" spans="1:7">
      <c r="A69" s="190">
        <v>45774</v>
      </c>
      <c r="B69" s="190">
        <v>45786</v>
      </c>
      <c r="C69" s="187" t="s">
        <v>123</v>
      </c>
      <c r="D69" s="187" t="s">
        <v>179</v>
      </c>
      <c r="E69" s="187">
        <v>10946</v>
      </c>
      <c r="F69" s="188">
        <v>5363.61</v>
      </c>
    </row>
    <row r="70" spans="1:7">
      <c r="A70" s="190">
        <v>45772</v>
      </c>
      <c r="B70" s="190">
        <v>45786</v>
      </c>
      <c r="C70" s="187" t="s">
        <v>177</v>
      </c>
      <c r="D70" s="187" t="s">
        <v>131</v>
      </c>
      <c r="E70" s="187">
        <v>10952</v>
      </c>
      <c r="F70" s="188">
        <v>12107.03</v>
      </c>
    </row>
    <row r="71" spans="1:7">
      <c r="A71" s="3" t="s">
        <v>272</v>
      </c>
      <c r="B71" s="3">
        <f>+VALUE(A71)</f>
        <v>45787</v>
      </c>
      <c r="C71" t="s">
        <v>73</v>
      </c>
      <c r="D71" s="4" t="s">
        <v>499</v>
      </c>
      <c r="G71" s="189">
        <v>-109.34</v>
      </c>
    </row>
    <row r="72" spans="1:7">
      <c r="A72" s="3" t="s">
        <v>272</v>
      </c>
      <c r="B72" s="3">
        <f>+VALUE(A72)</f>
        <v>45787</v>
      </c>
      <c r="C72" t="s">
        <v>73</v>
      </c>
      <c r="D72" s="4" t="s">
        <v>513</v>
      </c>
      <c r="G72" s="189">
        <v>-30.21</v>
      </c>
    </row>
    <row r="73" spans="1:7">
      <c r="A73" s="3" t="s">
        <v>284</v>
      </c>
      <c r="B73" s="3">
        <f>+VALUE(A73)</f>
        <v>45788</v>
      </c>
      <c r="C73" t="s">
        <v>77</v>
      </c>
      <c r="D73" s="4" t="s">
        <v>345</v>
      </c>
      <c r="G73" s="189">
        <v>-13.5</v>
      </c>
    </row>
    <row r="74" spans="1:7">
      <c r="A74" s="3" t="s">
        <v>275</v>
      </c>
      <c r="B74" s="3">
        <f>+VALUE(A74)</f>
        <v>45789</v>
      </c>
      <c r="C74" t="s">
        <v>75</v>
      </c>
      <c r="D74" s="4" t="s">
        <v>343</v>
      </c>
      <c r="G74" s="189">
        <v>-41.66</v>
      </c>
    </row>
    <row r="75" spans="1:7">
      <c r="A75" s="3" t="s">
        <v>275</v>
      </c>
      <c r="B75" s="3">
        <f>+VALUE(A75)</f>
        <v>45789</v>
      </c>
      <c r="C75" t="s">
        <v>77</v>
      </c>
      <c r="D75" s="4" t="s">
        <v>346</v>
      </c>
      <c r="G75" s="189">
        <v>-11.39</v>
      </c>
    </row>
    <row r="76" spans="1:7">
      <c r="A76" s="3" t="s">
        <v>275</v>
      </c>
      <c r="B76" s="3">
        <f>+VALUE(A76)</f>
        <v>45789</v>
      </c>
      <c r="C76" t="s">
        <v>75</v>
      </c>
      <c r="D76" s="4" t="s">
        <v>305</v>
      </c>
      <c r="G76" s="189">
        <v>-7.86</v>
      </c>
    </row>
    <row r="77" spans="1:7">
      <c r="A77" s="3" t="s">
        <v>275</v>
      </c>
      <c r="B77" s="3">
        <f>+VALUE(A77)</f>
        <v>45789</v>
      </c>
      <c r="C77" t="s">
        <v>75</v>
      </c>
      <c r="D77" s="4" t="s">
        <v>306</v>
      </c>
      <c r="G77" s="189">
        <v>-7.86</v>
      </c>
    </row>
    <row r="78" spans="1:7">
      <c r="A78" s="190">
        <v>45777</v>
      </c>
      <c r="B78" s="190">
        <v>45789</v>
      </c>
      <c r="C78" s="187" t="s">
        <v>104</v>
      </c>
      <c r="D78" s="187" t="s">
        <v>196</v>
      </c>
      <c r="E78" s="187">
        <v>10956</v>
      </c>
      <c r="F78" s="188">
        <v>588.79999999999995</v>
      </c>
    </row>
    <row r="79" spans="1:7">
      <c r="A79" s="190">
        <v>45777</v>
      </c>
      <c r="B79" s="190">
        <v>45789</v>
      </c>
      <c r="C79" s="187" t="s">
        <v>104</v>
      </c>
      <c r="D79" s="187" t="s">
        <v>197</v>
      </c>
      <c r="E79" s="187">
        <v>10957</v>
      </c>
      <c r="F79" s="188">
        <v>647.85</v>
      </c>
    </row>
    <row r="80" spans="1:7">
      <c r="A80" s="190">
        <v>45757</v>
      </c>
      <c r="B80" s="190">
        <v>45789</v>
      </c>
      <c r="C80" s="187" t="s">
        <v>141</v>
      </c>
      <c r="D80" s="187" t="s">
        <v>140</v>
      </c>
      <c r="E80" s="187">
        <v>10958</v>
      </c>
      <c r="F80" s="188">
        <v>984.82</v>
      </c>
    </row>
    <row r="81" spans="1:7">
      <c r="A81" s="190">
        <v>45700</v>
      </c>
      <c r="B81" s="190">
        <v>45789</v>
      </c>
      <c r="C81" s="187" t="s">
        <v>201</v>
      </c>
      <c r="D81" s="187" t="s">
        <v>287</v>
      </c>
      <c r="E81" s="187">
        <v>10955</v>
      </c>
      <c r="F81" s="188">
        <v>1350.2</v>
      </c>
    </row>
    <row r="82" spans="1:7">
      <c r="A82" s="3" t="s">
        <v>285</v>
      </c>
      <c r="B82" s="3">
        <f>+VALUE(A82)</f>
        <v>45790</v>
      </c>
      <c r="C82" t="s">
        <v>73</v>
      </c>
      <c r="D82" s="4" t="s">
        <v>523</v>
      </c>
      <c r="G82" s="189">
        <v>-10.48</v>
      </c>
    </row>
    <row r="83" spans="1:7">
      <c r="A83" s="190">
        <v>45749</v>
      </c>
      <c r="B83" s="190">
        <v>45791</v>
      </c>
      <c r="C83" s="187" t="s">
        <v>137</v>
      </c>
      <c r="D83" s="187" t="s">
        <v>124</v>
      </c>
      <c r="E83" s="187">
        <v>10962</v>
      </c>
      <c r="F83" s="188">
        <v>866.37</v>
      </c>
    </row>
    <row r="84" spans="1:7">
      <c r="A84" s="190">
        <v>45775</v>
      </c>
      <c r="B84" s="190">
        <v>45791</v>
      </c>
      <c r="C84" s="187" t="s">
        <v>66</v>
      </c>
      <c r="D84" s="187" t="s">
        <v>461</v>
      </c>
      <c r="E84" s="187">
        <v>10963</v>
      </c>
      <c r="F84" s="188">
        <v>1059.03</v>
      </c>
    </row>
    <row r="85" spans="1:7">
      <c r="A85" s="190">
        <v>45786</v>
      </c>
      <c r="B85" s="190">
        <v>45791</v>
      </c>
      <c r="C85" s="187" t="s">
        <v>66</v>
      </c>
      <c r="D85" s="187" t="s">
        <v>292</v>
      </c>
      <c r="E85" s="187">
        <v>10960</v>
      </c>
      <c r="F85" s="188">
        <v>4460.1400000000003</v>
      </c>
    </row>
    <row r="86" spans="1:7">
      <c r="A86" s="3" t="s">
        <v>279</v>
      </c>
      <c r="B86" s="3">
        <f>+VALUE(A86)</f>
        <v>45792</v>
      </c>
      <c r="C86" t="s">
        <v>77</v>
      </c>
      <c r="D86" s="4" t="s">
        <v>406</v>
      </c>
      <c r="G86" s="189">
        <v>-32.479999999999997</v>
      </c>
    </row>
    <row r="87" spans="1:7">
      <c r="A87" s="3" t="s">
        <v>279</v>
      </c>
      <c r="B87" s="3">
        <f>+VALUE(A87)</f>
        <v>45792</v>
      </c>
      <c r="C87" t="s">
        <v>75</v>
      </c>
      <c r="D87" s="4" t="s">
        <v>514</v>
      </c>
      <c r="G87" s="189">
        <v>-30</v>
      </c>
    </row>
    <row r="88" spans="1:7">
      <c r="A88" s="3" t="s">
        <v>279</v>
      </c>
      <c r="B88" s="3">
        <f>+VALUE(A88)</f>
        <v>45792</v>
      </c>
      <c r="C88" t="s">
        <v>75</v>
      </c>
      <c r="D88" s="4" t="s">
        <v>359</v>
      </c>
      <c r="G88" s="189">
        <v>-15.72</v>
      </c>
    </row>
    <row r="89" spans="1:7">
      <c r="A89" s="190">
        <v>45786</v>
      </c>
      <c r="B89" s="190">
        <v>45793</v>
      </c>
      <c r="C89" s="187" t="s">
        <v>66</v>
      </c>
      <c r="D89" s="187" t="s">
        <v>309</v>
      </c>
      <c r="E89" s="187">
        <v>10974</v>
      </c>
      <c r="F89" s="188">
        <v>503.45</v>
      </c>
    </row>
    <row r="90" spans="1:7">
      <c r="A90" s="190">
        <v>45782</v>
      </c>
      <c r="B90" s="190">
        <v>45793</v>
      </c>
      <c r="C90" s="187" t="s">
        <v>207</v>
      </c>
      <c r="D90" s="187" t="s">
        <v>300</v>
      </c>
      <c r="E90" s="187">
        <v>10974</v>
      </c>
      <c r="F90" s="188">
        <v>503.45</v>
      </c>
    </row>
    <row r="91" spans="1:7">
      <c r="A91" s="190">
        <v>45789</v>
      </c>
      <c r="B91" s="190">
        <v>45793</v>
      </c>
      <c r="C91" s="187" t="s">
        <v>66</v>
      </c>
      <c r="D91" s="187" t="s">
        <v>312</v>
      </c>
      <c r="E91" s="187">
        <v>10974</v>
      </c>
      <c r="F91" s="188">
        <v>524</v>
      </c>
    </row>
    <row r="92" spans="1:7">
      <c r="A92" s="190">
        <v>45789</v>
      </c>
      <c r="B92" s="190">
        <v>45793</v>
      </c>
      <c r="C92" s="187" t="s">
        <v>211</v>
      </c>
      <c r="D92" s="187" t="s">
        <v>305</v>
      </c>
      <c r="E92" s="187">
        <v>10974</v>
      </c>
      <c r="F92" s="188">
        <v>524</v>
      </c>
    </row>
    <row r="93" spans="1:7">
      <c r="A93" s="190">
        <v>45789</v>
      </c>
      <c r="B93" s="190">
        <v>45793</v>
      </c>
      <c r="C93" s="187" t="s">
        <v>212</v>
      </c>
      <c r="D93" s="187" t="s">
        <v>306</v>
      </c>
      <c r="E93" s="187">
        <v>10974</v>
      </c>
      <c r="F93" s="188">
        <v>524</v>
      </c>
    </row>
    <row r="94" spans="1:7">
      <c r="A94" s="190">
        <v>45772</v>
      </c>
      <c r="B94" s="190">
        <v>45793</v>
      </c>
      <c r="C94" s="187" t="s">
        <v>1</v>
      </c>
      <c r="D94" s="187" t="s">
        <v>178</v>
      </c>
      <c r="E94" s="187">
        <v>10967</v>
      </c>
      <c r="F94" s="188">
        <v>605</v>
      </c>
    </row>
    <row r="95" spans="1:7">
      <c r="A95" s="190">
        <v>45755</v>
      </c>
      <c r="B95" s="190">
        <v>45793</v>
      </c>
      <c r="C95" s="187" t="s">
        <v>100</v>
      </c>
      <c r="D95" s="187" t="s">
        <v>138</v>
      </c>
      <c r="E95" s="187">
        <v>10965</v>
      </c>
      <c r="F95" s="188">
        <v>694.3</v>
      </c>
    </row>
    <row r="96" spans="1:7">
      <c r="A96" s="190">
        <v>45789</v>
      </c>
      <c r="B96" s="190">
        <v>45793</v>
      </c>
      <c r="C96" s="187" t="s">
        <v>104</v>
      </c>
      <c r="D96" s="187" t="s">
        <v>296</v>
      </c>
      <c r="E96" s="187">
        <v>10970</v>
      </c>
      <c r="F96" s="188">
        <v>767.55</v>
      </c>
    </row>
    <row r="97" spans="1:6">
      <c r="A97" s="190">
        <v>45779</v>
      </c>
      <c r="B97" s="190">
        <v>45793</v>
      </c>
      <c r="C97" s="187" t="s">
        <v>60</v>
      </c>
      <c r="D97" s="187" t="s">
        <v>294</v>
      </c>
      <c r="E97" s="187">
        <v>10968</v>
      </c>
      <c r="F97" s="188">
        <v>849.89</v>
      </c>
    </row>
    <row r="98" spans="1:6">
      <c r="A98" s="190">
        <v>45789</v>
      </c>
      <c r="B98" s="190">
        <v>45793</v>
      </c>
      <c r="C98" s="187" t="s">
        <v>104</v>
      </c>
      <c r="D98" s="187" t="s">
        <v>298</v>
      </c>
      <c r="E98" s="187">
        <v>10972</v>
      </c>
      <c r="F98" s="188">
        <v>902.61</v>
      </c>
    </row>
    <row r="99" spans="1:6">
      <c r="A99" s="190">
        <v>45777</v>
      </c>
      <c r="B99" s="190">
        <v>45793</v>
      </c>
      <c r="C99" s="187" t="s">
        <v>200</v>
      </c>
      <c r="D99" s="187" t="s">
        <v>199</v>
      </c>
      <c r="E99" s="187">
        <v>10974</v>
      </c>
      <c r="F99" s="188">
        <v>978.4</v>
      </c>
    </row>
    <row r="100" spans="1:6">
      <c r="A100" s="190">
        <v>45782</v>
      </c>
      <c r="B100" s="190">
        <v>45793</v>
      </c>
      <c r="C100" s="187" t="s">
        <v>66</v>
      </c>
      <c r="D100" s="187" t="s">
        <v>307</v>
      </c>
      <c r="E100" s="187">
        <v>10974</v>
      </c>
      <c r="F100" s="188">
        <v>1006.9</v>
      </c>
    </row>
    <row r="101" spans="1:6">
      <c r="A101" s="190">
        <v>45786</v>
      </c>
      <c r="B101" s="190">
        <v>45793</v>
      </c>
      <c r="C101" s="187" t="s">
        <v>66</v>
      </c>
      <c r="D101" s="187" t="s">
        <v>310</v>
      </c>
      <c r="E101" s="187">
        <v>10974</v>
      </c>
      <c r="F101" s="188">
        <v>1006.9</v>
      </c>
    </row>
    <row r="102" spans="1:6">
      <c r="A102" s="190">
        <v>45786</v>
      </c>
      <c r="B102" s="190">
        <v>45793</v>
      </c>
      <c r="C102" s="187" t="s">
        <v>66</v>
      </c>
      <c r="D102" s="187" t="s">
        <v>311</v>
      </c>
      <c r="E102" s="187">
        <v>10974</v>
      </c>
      <c r="F102" s="188">
        <v>1006.9</v>
      </c>
    </row>
    <row r="103" spans="1:6">
      <c r="A103" s="190">
        <v>45784</v>
      </c>
      <c r="B103" s="190">
        <v>45793</v>
      </c>
      <c r="C103" s="187" t="s">
        <v>209</v>
      </c>
      <c r="D103" s="187" t="s">
        <v>303</v>
      </c>
      <c r="E103" s="187">
        <v>10974</v>
      </c>
      <c r="F103" s="188">
        <v>1006.9</v>
      </c>
    </row>
    <row r="104" spans="1:6">
      <c r="A104" s="190">
        <v>45782</v>
      </c>
      <c r="B104" s="190">
        <v>45793</v>
      </c>
      <c r="C104" s="187" t="s">
        <v>208</v>
      </c>
      <c r="D104" s="187" t="s">
        <v>302</v>
      </c>
      <c r="E104" s="187">
        <v>10974</v>
      </c>
      <c r="F104" s="188">
        <v>1006.9</v>
      </c>
    </row>
    <row r="105" spans="1:6">
      <c r="A105" s="190">
        <v>45782</v>
      </c>
      <c r="B105" s="190">
        <v>45793</v>
      </c>
      <c r="C105" s="187" t="s">
        <v>105</v>
      </c>
      <c r="D105" s="187" t="s">
        <v>301</v>
      </c>
      <c r="E105" s="187">
        <v>10974</v>
      </c>
      <c r="F105" s="188">
        <v>1006.9</v>
      </c>
    </row>
    <row r="106" spans="1:6">
      <c r="A106" s="190">
        <v>45786</v>
      </c>
      <c r="B106" s="190">
        <v>45793</v>
      </c>
      <c r="C106" s="187" t="s">
        <v>210</v>
      </c>
      <c r="D106" s="187" t="s">
        <v>304</v>
      </c>
      <c r="E106" s="187">
        <v>10974</v>
      </c>
      <c r="F106" s="188">
        <v>1006.9</v>
      </c>
    </row>
    <row r="107" spans="1:6">
      <c r="A107" s="190">
        <v>45755</v>
      </c>
      <c r="B107" s="190">
        <v>45793</v>
      </c>
      <c r="C107" s="187" t="s">
        <v>100</v>
      </c>
      <c r="D107" s="187" t="s">
        <v>139</v>
      </c>
      <c r="E107" s="187">
        <v>10966</v>
      </c>
      <c r="F107" s="188">
        <v>1267.8399999999999</v>
      </c>
    </row>
    <row r="108" spans="1:6">
      <c r="A108" s="190">
        <v>45781</v>
      </c>
      <c r="B108" s="190">
        <v>45793</v>
      </c>
      <c r="C108" s="187" t="s">
        <v>82</v>
      </c>
      <c r="D108" s="187" t="s">
        <v>295</v>
      </c>
      <c r="E108" s="187">
        <v>10969</v>
      </c>
      <c r="F108" s="188">
        <v>1392.38</v>
      </c>
    </row>
    <row r="109" spans="1:6">
      <c r="A109" s="190">
        <v>45789</v>
      </c>
      <c r="B109" s="190">
        <v>45793</v>
      </c>
      <c r="C109" s="187" t="s">
        <v>205</v>
      </c>
      <c r="D109" s="187" t="s">
        <v>297</v>
      </c>
      <c r="E109" s="187">
        <v>10971</v>
      </c>
      <c r="F109" s="188">
        <v>1510.92</v>
      </c>
    </row>
    <row r="110" spans="1:6">
      <c r="A110" s="190">
        <v>45782</v>
      </c>
      <c r="B110" s="190">
        <v>45793</v>
      </c>
      <c r="C110" s="187" t="s">
        <v>66</v>
      </c>
      <c r="D110" s="187" t="s">
        <v>308</v>
      </c>
      <c r="E110" s="187">
        <v>10974</v>
      </c>
      <c r="F110" s="188">
        <v>2013.8</v>
      </c>
    </row>
    <row r="111" spans="1:6">
      <c r="A111" s="190">
        <v>45789</v>
      </c>
      <c r="B111" s="190">
        <v>45793</v>
      </c>
      <c r="C111" s="187" t="s">
        <v>206</v>
      </c>
      <c r="D111" s="187" t="s">
        <v>299</v>
      </c>
      <c r="E111" s="187">
        <v>10973</v>
      </c>
      <c r="F111" s="188">
        <v>7166.33</v>
      </c>
    </row>
    <row r="112" spans="1:6">
      <c r="A112" s="190">
        <v>45779</v>
      </c>
      <c r="B112" s="190">
        <v>45793</v>
      </c>
      <c r="C112" s="187" t="s">
        <v>80</v>
      </c>
      <c r="D112" s="187" t="s">
        <v>313</v>
      </c>
      <c r="E112" s="187">
        <v>10976</v>
      </c>
      <c r="F112" s="188">
        <v>32703.26</v>
      </c>
    </row>
    <row r="113" spans="1:7">
      <c r="A113" s="190">
        <v>45791</v>
      </c>
      <c r="B113" s="190">
        <v>45793</v>
      </c>
      <c r="C113" s="187" t="s">
        <v>204</v>
      </c>
      <c r="D113" s="187" t="s">
        <v>293</v>
      </c>
      <c r="E113" s="187">
        <v>10964</v>
      </c>
      <c r="F113" s="188">
        <v>1025436.28</v>
      </c>
    </row>
    <row r="114" spans="1:7">
      <c r="A114" s="190">
        <v>45782</v>
      </c>
      <c r="B114" s="190">
        <v>45796</v>
      </c>
      <c r="C114" s="187" t="s">
        <v>103</v>
      </c>
      <c r="D114" s="187" t="s">
        <v>316</v>
      </c>
      <c r="E114" s="187">
        <v>10983</v>
      </c>
      <c r="F114" s="188">
        <v>2165.0500000000002</v>
      </c>
    </row>
    <row r="115" spans="1:7">
      <c r="A115" s="190">
        <v>45786</v>
      </c>
      <c r="B115" s="190">
        <v>45796</v>
      </c>
      <c r="C115" s="187" t="s">
        <v>104</v>
      </c>
      <c r="D115" s="187" t="s">
        <v>314</v>
      </c>
      <c r="E115" s="187">
        <v>10979</v>
      </c>
      <c r="F115" s="188">
        <v>4266.09</v>
      </c>
    </row>
    <row r="116" spans="1:7">
      <c r="A116" s="190">
        <v>45782</v>
      </c>
      <c r="B116" s="190">
        <v>45796</v>
      </c>
      <c r="C116" s="187" t="s">
        <v>116</v>
      </c>
      <c r="D116" s="187" t="s">
        <v>315</v>
      </c>
      <c r="E116" s="187">
        <v>10982</v>
      </c>
      <c r="F116" s="188">
        <v>4383.75</v>
      </c>
    </row>
    <row r="117" spans="1:7">
      <c r="A117" s="190">
        <v>45783</v>
      </c>
      <c r="B117" s="190">
        <v>45796</v>
      </c>
      <c r="C117" s="187" t="s">
        <v>61</v>
      </c>
      <c r="D117" s="187" t="s">
        <v>317</v>
      </c>
      <c r="E117" s="187">
        <v>10984</v>
      </c>
      <c r="F117" s="188">
        <v>24408.65</v>
      </c>
    </row>
    <row r="118" spans="1:7">
      <c r="A118" s="3" t="s">
        <v>262</v>
      </c>
      <c r="B118" s="3">
        <f>+VALUE(A118)</f>
        <v>45797</v>
      </c>
      <c r="C118" t="s">
        <v>263</v>
      </c>
      <c r="D118" s="4" t="s">
        <v>489</v>
      </c>
      <c r="G118" s="189">
        <v>-1200000</v>
      </c>
    </row>
    <row r="119" spans="1:7">
      <c r="A119" s="3" t="s">
        <v>262</v>
      </c>
      <c r="B119" s="3">
        <f>+VALUE(A119)</f>
        <v>45797</v>
      </c>
      <c r="C119" t="s">
        <v>76</v>
      </c>
      <c r="D119" s="4" t="s">
        <v>489</v>
      </c>
      <c r="G119" s="189">
        <v>-3000</v>
      </c>
    </row>
    <row r="120" spans="1:7">
      <c r="A120" s="3" t="s">
        <v>262</v>
      </c>
      <c r="B120" s="3">
        <f>+VALUE(A120)</f>
        <v>45797</v>
      </c>
      <c r="C120" t="s">
        <v>81</v>
      </c>
      <c r="D120" s="4" t="s">
        <v>492</v>
      </c>
      <c r="G120" s="189">
        <v>-233.22</v>
      </c>
    </row>
    <row r="121" spans="1:7">
      <c r="A121" s="3" t="s">
        <v>262</v>
      </c>
      <c r="B121" s="3">
        <f>+VALUE(A121)</f>
        <v>45797</v>
      </c>
      <c r="C121" t="s">
        <v>81</v>
      </c>
      <c r="D121" s="4" t="s">
        <v>493</v>
      </c>
      <c r="G121" s="189">
        <v>-233.22</v>
      </c>
    </row>
    <row r="122" spans="1:7">
      <c r="A122" s="3" t="s">
        <v>262</v>
      </c>
      <c r="B122" s="3">
        <f>+VALUE(A122)</f>
        <v>45797</v>
      </c>
      <c r="C122" t="s">
        <v>73</v>
      </c>
      <c r="D122" s="4" t="s">
        <v>505</v>
      </c>
      <c r="G122" s="189">
        <v>-42.26</v>
      </c>
    </row>
    <row r="123" spans="1:7">
      <c r="A123" s="3" t="s">
        <v>262</v>
      </c>
      <c r="B123" s="3">
        <f>+VALUE(A123)</f>
        <v>45797</v>
      </c>
      <c r="C123" t="s">
        <v>77</v>
      </c>
      <c r="D123" s="4" t="s">
        <v>383</v>
      </c>
      <c r="G123" s="189">
        <v>-39.479999999999997</v>
      </c>
    </row>
    <row r="124" spans="1:7">
      <c r="A124" s="3" t="s">
        <v>262</v>
      </c>
      <c r="B124" s="3">
        <f>+VALUE(A124)</f>
        <v>45797</v>
      </c>
      <c r="C124" t="s">
        <v>73</v>
      </c>
      <c r="D124" s="4" t="s">
        <v>516</v>
      </c>
      <c r="G124" s="189">
        <v>-21.13</v>
      </c>
    </row>
    <row r="125" spans="1:7">
      <c r="A125" s="190">
        <v>45785</v>
      </c>
      <c r="B125" s="190">
        <v>45797</v>
      </c>
      <c r="C125" s="187" t="s">
        <v>219</v>
      </c>
      <c r="D125" s="187" t="s">
        <v>328</v>
      </c>
      <c r="E125" s="187">
        <v>11000</v>
      </c>
      <c r="F125" s="188">
        <v>130</v>
      </c>
    </row>
    <row r="126" spans="1:7">
      <c r="A126" s="190">
        <v>45782</v>
      </c>
      <c r="B126" s="190">
        <v>45797</v>
      </c>
      <c r="C126" s="187" t="s">
        <v>106</v>
      </c>
      <c r="D126" s="187" t="s">
        <v>324</v>
      </c>
      <c r="E126" s="187">
        <v>10996</v>
      </c>
      <c r="F126" s="188">
        <v>1398</v>
      </c>
    </row>
    <row r="127" spans="1:7">
      <c r="A127" s="190">
        <v>45785</v>
      </c>
      <c r="B127" s="190">
        <v>45797</v>
      </c>
      <c r="C127" s="187" t="s">
        <v>106</v>
      </c>
      <c r="D127" s="187" t="s">
        <v>329</v>
      </c>
      <c r="E127" s="187">
        <v>11000</v>
      </c>
      <c r="F127" s="188">
        <v>1470</v>
      </c>
    </row>
    <row r="128" spans="1:7">
      <c r="A128" s="190">
        <v>45786</v>
      </c>
      <c r="B128" s="190">
        <v>45797</v>
      </c>
      <c r="C128" s="187" t="s">
        <v>59</v>
      </c>
      <c r="D128" s="187" t="s">
        <v>335</v>
      </c>
      <c r="E128" s="187">
        <v>11006</v>
      </c>
      <c r="F128" s="188">
        <v>1552.93</v>
      </c>
    </row>
    <row r="129" spans="1:6">
      <c r="A129" s="190">
        <v>45785</v>
      </c>
      <c r="B129" s="190">
        <v>45797</v>
      </c>
      <c r="C129" s="187" t="s">
        <v>78</v>
      </c>
      <c r="D129" s="187" t="s">
        <v>327</v>
      </c>
      <c r="E129" s="187">
        <v>10999</v>
      </c>
      <c r="F129" s="188">
        <v>1661.14</v>
      </c>
    </row>
    <row r="130" spans="1:6">
      <c r="A130" s="190">
        <v>45783</v>
      </c>
      <c r="B130" s="190">
        <v>45797</v>
      </c>
      <c r="C130" s="187" t="s">
        <v>214</v>
      </c>
      <c r="D130" s="187" t="s">
        <v>320</v>
      </c>
      <c r="E130" s="187">
        <v>10992</v>
      </c>
      <c r="F130" s="188">
        <v>1705.38</v>
      </c>
    </row>
    <row r="131" spans="1:6">
      <c r="A131" s="190">
        <v>45790</v>
      </c>
      <c r="B131" s="190">
        <v>45797</v>
      </c>
      <c r="C131" s="187" t="s">
        <v>71</v>
      </c>
      <c r="D131" s="187" t="s">
        <v>341</v>
      </c>
      <c r="E131" s="187">
        <v>11012</v>
      </c>
      <c r="F131" s="188">
        <v>1729.2</v>
      </c>
    </row>
    <row r="132" spans="1:6">
      <c r="A132" s="190">
        <v>45785</v>
      </c>
      <c r="B132" s="190">
        <v>45797</v>
      </c>
      <c r="C132" s="187" t="s">
        <v>220</v>
      </c>
      <c r="D132" s="187" t="s">
        <v>330</v>
      </c>
      <c r="E132" s="187">
        <v>11001</v>
      </c>
      <c r="F132" s="188">
        <v>1773.12</v>
      </c>
    </row>
    <row r="133" spans="1:6">
      <c r="A133" s="190">
        <v>45784</v>
      </c>
      <c r="B133" s="190">
        <v>45797</v>
      </c>
      <c r="C133" s="187" t="s">
        <v>218</v>
      </c>
      <c r="D133" s="187" t="s">
        <v>326</v>
      </c>
      <c r="E133" s="187">
        <v>10998</v>
      </c>
      <c r="F133" s="188">
        <v>1918.6</v>
      </c>
    </row>
    <row r="134" spans="1:6">
      <c r="A134" s="190">
        <v>45786</v>
      </c>
      <c r="B134" s="190">
        <v>45797</v>
      </c>
      <c r="C134" s="187" t="s">
        <v>84</v>
      </c>
      <c r="D134" s="187" t="s">
        <v>333</v>
      </c>
      <c r="E134" s="187">
        <v>11004</v>
      </c>
      <c r="F134" s="188">
        <v>1980</v>
      </c>
    </row>
    <row r="135" spans="1:6">
      <c r="A135" s="190">
        <v>45789</v>
      </c>
      <c r="B135" s="190">
        <v>45797</v>
      </c>
      <c r="C135" s="187" t="s">
        <v>98</v>
      </c>
      <c r="D135" s="187" t="s">
        <v>337</v>
      </c>
      <c r="E135" s="187">
        <v>11008</v>
      </c>
      <c r="F135" s="188">
        <v>1999.5</v>
      </c>
    </row>
    <row r="136" spans="1:6">
      <c r="A136" s="190">
        <v>45789</v>
      </c>
      <c r="B136" s="190">
        <v>45797</v>
      </c>
      <c r="C136" s="187" t="s">
        <v>98</v>
      </c>
      <c r="D136" s="187" t="s">
        <v>338</v>
      </c>
      <c r="E136" s="187">
        <v>11009</v>
      </c>
      <c r="F136" s="188">
        <v>1999.5</v>
      </c>
    </row>
    <row r="137" spans="1:6">
      <c r="A137" s="190">
        <v>45782</v>
      </c>
      <c r="B137" s="190">
        <v>45797</v>
      </c>
      <c r="C137" s="187" t="s">
        <v>213</v>
      </c>
      <c r="D137" s="187" t="s">
        <v>319</v>
      </c>
      <c r="E137" s="187">
        <v>10991</v>
      </c>
      <c r="F137" s="188">
        <v>2147.42</v>
      </c>
    </row>
    <row r="138" spans="1:6">
      <c r="A138" s="190">
        <v>45782</v>
      </c>
      <c r="B138" s="190">
        <v>45797</v>
      </c>
      <c r="C138" s="187" t="s">
        <v>102</v>
      </c>
      <c r="D138" s="187" t="s">
        <v>322</v>
      </c>
      <c r="E138" s="187">
        <v>10994</v>
      </c>
      <c r="F138" s="188">
        <v>2164.83</v>
      </c>
    </row>
    <row r="139" spans="1:6">
      <c r="A139" s="190">
        <v>45790</v>
      </c>
      <c r="B139" s="190">
        <v>45797</v>
      </c>
      <c r="C139" s="187" t="s">
        <v>89</v>
      </c>
      <c r="D139" s="187" t="s">
        <v>339</v>
      </c>
      <c r="E139" s="187">
        <v>11010</v>
      </c>
      <c r="F139" s="188">
        <v>2253.1999999999998</v>
      </c>
    </row>
    <row r="140" spans="1:6">
      <c r="A140" s="190">
        <v>45784</v>
      </c>
      <c r="B140" s="190">
        <v>45797</v>
      </c>
      <c r="C140" s="187" t="s">
        <v>217</v>
      </c>
      <c r="D140" s="187" t="s">
        <v>325</v>
      </c>
      <c r="E140" s="187">
        <v>10997</v>
      </c>
      <c r="F140" s="188">
        <v>2440.39</v>
      </c>
    </row>
    <row r="141" spans="1:6">
      <c r="A141" s="190">
        <v>45782</v>
      </c>
      <c r="B141" s="190">
        <v>45797</v>
      </c>
      <c r="C141" s="187" t="s">
        <v>216</v>
      </c>
      <c r="D141" s="187" t="s">
        <v>323</v>
      </c>
      <c r="E141" s="187">
        <v>10995</v>
      </c>
      <c r="F141" s="188">
        <v>2459.09</v>
      </c>
    </row>
    <row r="142" spans="1:6">
      <c r="A142" s="190">
        <v>45789</v>
      </c>
      <c r="B142" s="190">
        <v>45797</v>
      </c>
      <c r="C142" s="187" t="s">
        <v>90</v>
      </c>
      <c r="D142" s="187" t="s">
        <v>340</v>
      </c>
      <c r="E142" s="187">
        <v>11011</v>
      </c>
      <c r="F142" s="188">
        <v>2480</v>
      </c>
    </row>
    <row r="143" spans="1:6">
      <c r="A143" s="190">
        <v>45786</v>
      </c>
      <c r="B143" s="190">
        <v>45797</v>
      </c>
      <c r="C143" s="187" t="s">
        <v>102</v>
      </c>
      <c r="D143" s="187" t="s">
        <v>334</v>
      </c>
      <c r="E143" s="187">
        <v>11005</v>
      </c>
      <c r="F143" s="188">
        <v>2668.28</v>
      </c>
    </row>
    <row r="144" spans="1:6">
      <c r="A144" s="190">
        <v>45789</v>
      </c>
      <c r="B144" s="190">
        <v>45797</v>
      </c>
      <c r="C144" s="187" t="s">
        <v>222</v>
      </c>
      <c r="D144" s="187" t="s">
        <v>342</v>
      </c>
      <c r="E144" s="187">
        <v>11013</v>
      </c>
      <c r="F144" s="188">
        <v>3384.62</v>
      </c>
    </row>
    <row r="145" spans="1:7">
      <c r="A145" s="190">
        <v>45783</v>
      </c>
      <c r="B145" s="190">
        <v>45797</v>
      </c>
      <c r="C145" s="187" t="s">
        <v>215</v>
      </c>
      <c r="D145" s="187" t="s">
        <v>321</v>
      </c>
      <c r="E145" s="187">
        <v>10993</v>
      </c>
      <c r="F145" s="188">
        <v>6031</v>
      </c>
    </row>
    <row r="146" spans="1:7">
      <c r="A146" s="190">
        <v>45790</v>
      </c>
      <c r="B146" s="190">
        <v>45797</v>
      </c>
      <c r="C146" s="187" t="s">
        <v>221</v>
      </c>
      <c r="D146" s="187" t="s">
        <v>336</v>
      </c>
      <c r="E146" s="187">
        <v>11007</v>
      </c>
      <c r="F146" s="188">
        <v>18279.919999999998</v>
      </c>
    </row>
    <row r="147" spans="1:7">
      <c r="A147" s="190">
        <v>45785</v>
      </c>
      <c r="B147" s="190">
        <v>45797</v>
      </c>
      <c r="C147" s="187" t="s">
        <v>100</v>
      </c>
      <c r="D147" s="187" t="s">
        <v>331</v>
      </c>
      <c r="E147" s="187">
        <v>11002</v>
      </c>
      <c r="F147" s="188">
        <v>23534.34</v>
      </c>
    </row>
    <row r="148" spans="1:7">
      <c r="A148" s="190">
        <v>45784</v>
      </c>
      <c r="B148" s="190">
        <v>45797</v>
      </c>
      <c r="C148" s="187" t="s">
        <v>215</v>
      </c>
      <c r="D148" s="187" t="s">
        <v>332</v>
      </c>
      <c r="E148" s="187">
        <v>11003</v>
      </c>
      <c r="F148" s="188">
        <v>30205.21</v>
      </c>
    </row>
    <row r="149" spans="1:7">
      <c r="A149" s="190">
        <v>45783</v>
      </c>
      <c r="B149" s="190">
        <v>45797</v>
      </c>
      <c r="C149" s="187" t="s">
        <v>79</v>
      </c>
      <c r="D149" s="187" t="s">
        <v>318</v>
      </c>
      <c r="E149" s="187">
        <v>10990</v>
      </c>
      <c r="F149" s="188">
        <v>30680.09</v>
      </c>
    </row>
    <row r="150" spans="1:7">
      <c r="A150" s="3" t="s">
        <v>278</v>
      </c>
      <c r="B150" s="3">
        <f>+VALUE(A150)</f>
        <v>45798</v>
      </c>
      <c r="C150" t="s">
        <v>75</v>
      </c>
      <c r="D150" s="4" t="s">
        <v>376</v>
      </c>
      <c r="G150" s="189">
        <v>-34.07</v>
      </c>
    </row>
    <row r="151" spans="1:7">
      <c r="A151" s="3" t="s">
        <v>278</v>
      </c>
      <c r="B151" s="3">
        <f>+VALUE(A151)</f>
        <v>45798</v>
      </c>
      <c r="C151" t="s">
        <v>73</v>
      </c>
      <c r="D151" s="4" t="s">
        <v>517</v>
      </c>
      <c r="G151" s="189">
        <v>-21.13</v>
      </c>
    </row>
    <row r="152" spans="1:7">
      <c r="A152" s="190">
        <v>45789</v>
      </c>
      <c r="B152" s="190">
        <v>45798</v>
      </c>
      <c r="C152" s="187" t="s">
        <v>106</v>
      </c>
      <c r="D152" s="187" t="s">
        <v>346</v>
      </c>
      <c r="E152" s="187">
        <v>11019</v>
      </c>
      <c r="F152" s="188">
        <v>759</v>
      </c>
    </row>
    <row r="153" spans="1:7">
      <c r="A153" s="190">
        <v>45788</v>
      </c>
      <c r="B153" s="190">
        <v>45798</v>
      </c>
      <c r="C153" s="187" t="s">
        <v>106</v>
      </c>
      <c r="D153" s="187" t="s">
        <v>345</v>
      </c>
      <c r="E153" s="187">
        <v>11019</v>
      </c>
      <c r="F153" s="188">
        <v>900</v>
      </c>
    </row>
    <row r="154" spans="1:7">
      <c r="A154" s="190">
        <v>45786</v>
      </c>
      <c r="B154" s="190">
        <v>45798</v>
      </c>
      <c r="C154" s="187" t="s">
        <v>223</v>
      </c>
      <c r="D154" s="187" t="s">
        <v>349</v>
      </c>
      <c r="E154" s="187">
        <v>11022</v>
      </c>
      <c r="F154" s="188">
        <v>1057</v>
      </c>
    </row>
    <row r="155" spans="1:7">
      <c r="A155" s="190">
        <v>45786</v>
      </c>
      <c r="B155" s="190">
        <v>45798</v>
      </c>
      <c r="C155" s="187" t="s">
        <v>223</v>
      </c>
      <c r="D155" s="187" t="s">
        <v>347</v>
      </c>
      <c r="E155" s="187">
        <v>11020</v>
      </c>
      <c r="F155" s="188">
        <v>1557</v>
      </c>
    </row>
    <row r="156" spans="1:7">
      <c r="A156" s="190">
        <v>45786</v>
      </c>
      <c r="B156" s="190">
        <v>45798</v>
      </c>
      <c r="C156" s="187" t="s">
        <v>89</v>
      </c>
      <c r="D156" s="187" t="s">
        <v>348</v>
      </c>
      <c r="E156" s="187">
        <v>11021</v>
      </c>
      <c r="F156" s="188">
        <v>2164.84</v>
      </c>
    </row>
    <row r="157" spans="1:7">
      <c r="A157" s="190">
        <v>45784</v>
      </c>
      <c r="B157" s="190">
        <v>45798</v>
      </c>
      <c r="C157" s="187" t="s">
        <v>218</v>
      </c>
      <c r="D157" s="187" t="s">
        <v>352</v>
      </c>
      <c r="E157" s="187">
        <v>11025</v>
      </c>
      <c r="F157" s="188">
        <v>2397.08</v>
      </c>
    </row>
    <row r="158" spans="1:7">
      <c r="A158" s="190">
        <v>45790</v>
      </c>
      <c r="B158" s="190">
        <v>45798</v>
      </c>
      <c r="C158" s="187" t="s">
        <v>225</v>
      </c>
      <c r="D158" s="187" t="s">
        <v>354</v>
      </c>
      <c r="E158" s="187">
        <v>11027</v>
      </c>
      <c r="F158" s="188">
        <v>2466.9</v>
      </c>
    </row>
    <row r="159" spans="1:7">
      <c r="A159" s="190">
        <v>45786</v>
      </c>
      <c r="B159" s="190">
        <v>45798</v>
      </c>
      <c r="C159" s="187" t="s">
        <v>102</v>
      </c>
      <c r="D159" s="187" t="s">
        <v>353</v>
      </c>
      <c r="E159" s="187">
        <v>11026</v>
      </c>
      <c r="F159" s="188">
        <v>2466.91</v>
      </c>
    </row>
    <row r="160" spans="1:7">
      <c r="A160" s="190">
        <v>45789</v>
      </c>
      <c r="B160" s="190">
        <v>45798</v>
      </c>
      <c r="C160" s="187" t="s">
        <v>95</v>
      </c>
      <c r="D160" s="187" t="s">
        <v>343</v>
      </c>
      <c r="E160" s="187">
        <v>11017</v>
      </c>
      <c r="F160" s="188">
        <v>2777.2</v>
      </c>
    </row>
    <row r="161" spans="1:7">
      <c r="A161" s="190">
        <v>45789</v>
      </c>
      <c r="B161" s="190">
        <v>45798</v>
      </c>
      <c r="C161" s="187" t="s">
        <v>62</v>
      </c>
      <c r="D161" s="187" t="s">
        <v>344</v>
      </c>
      <c r="E161" s="187">
        <v>11018</v>
      </c>
      <c r="F161" s="188">
        <v>3609.58</v>
      </c>
    </row>
    <row r="162" spans="1:7">
      <c r="A162" s="190">
        <v>45789</v>
      </c>
      <c r="B162" s="190">
        <v>45798</v>
      </c>
      <c r="C162" s="187" t="s">
        <v>224</v>
      </c>
      <c r="D162" s="187" t="s">
        <v>350</v>
      </c>
      <c r="E162" s="187">
        <v>11023</v>
      </c>
      <c r="F162" s="188">
        <v>3862</v>
      </c>
    </row>
    <row r="163" spans="1:7">
      <c r="A163" s="190">
        <v>45789</v>
      </c>
      <c r="B163" s="190">
        <v>45798</v>
      </c>
      <c r="C163" s="187" t="s">
        <v>114</v>
      </c>
      <c r="D163" s="187" t="s">
        <v>351</v>
      </c>
      <c r="E163" s="187">
        <v>11024</v>
      </c>
      <c r="F163" s="188">
        <v>9801.42</v>
      </c>
    </row>
    <row r="164" spans="1:7">
      <c r="A164" s="3" t="s">
        <v>270</v>
      </c>
      <c r="B164" s="3">
        <f>+VALUE(A164)</f>
        <v>45799</v>
      </c>
      <c r="C164" t="s">
        <v>73</v>
      </c>
      <c r="D164" s="4" t="s">
        <v>497</v>
      </c>
      <c r="G164" s="189">
        <v>-141.6</v>
      </c>
    </row>
    <row r="165" spans="1:7">
      <c r="A165" s="3" t="s">
        <v>270</v>
      </c>
      <c r="B165" s="3">
        <f>+VALUE(A165)</f>
        <v>45799</v>
      </c>
      <c r="C165" t="s">
        <v>77</v>
      </c>
      <c r="D165" s="4" t="s">
        <v>500</v>
      </c>
      <c r="G165" s="189">
        <v>-77.45</v>
      </c>
    </row>
    <row r="166" spans="1:7">
      <c r="A166" s="3" t="s">
        <v>270</v>
      </c>
      <c r="B166" s="3">
        <f>+VALUE(A166)</f>
        <v>45799</v>
      </c>
      <c r="C166" t="s">
        <v>77</v>
      </c>
      <c r="D166" s="4" t="s">
        <v>464</v>
      </c>
      <c r="G166" s="189">
        <v>-35.96</v>
      </c>
    </row>
    <row r="167" spans="1:7">
      <c r="A167" s="3" t="s">
        <v>270</v>
      </c>
      <c r="B167" s="3">
        <f>+VALUE(A167)</f>
        <v>45799</v>
      </c>
      <c r="C167" t="s">
        <v>77</v>
      </c>
      <c r="D167" s="4" t="s">
        <v>429</v>
      </c>
      <c r="G167" s="189">
        <v>-34.07</v>
      </c>
    </row>
    <row r="168" spans="1:7">
      <c r="A168" s="3" t="s">
        <v>270</v>
      </c>
      <c r="B168" s="3">
        <f>+VALUE(A168)</f>
        <v>45799</v>
      </c>
      <c r="C168" t="s">
        <v>75</v>
      </c>
      <c r="D168" s="4" t="s">
        <v>469</v>
      </c>
      <c r="G168" s="189">
        <v>-15.85</v>
      </c>
    </row>
    <row r="169" spans="1:7">
      <c r="A169" s="190">
        <v>45782</v>
      </c>
      <c r="B169" s="190">
        <v>45799</v>
      </c>
      <c r="C169" s="187" t="s">
        <v>226</v>
      </c>
      <c r="D169" s="187" t="s">
        <v>355</v>
      </c>
      <c r="E169" s="187">
        <v>11030</v>
      </c>
      <c r="F169" s="188">
        <v>1500</v>
      </c>
    </row>
    <row r="170" spans="1:7">
      <c r="A170" s="190">
        <v>45782</v>
      </c>
      <c r="B170" s="190">
        <v>45799</v>
      </c>
      <c r="C170" s="187" t="s">
        <v>226</v>
      </c>
      <c r="D170" s="187" t="s">
        <v>356</v>
      </c>
      <c r="E170" s="187">
        <v>11030</v>
      </c>
      <c r="F170" s="188">
        <v>3800</v>
      </c>
    </row>
    <row r="171" spans="1:7">
      <c r="A171" s="190">
        <v>45770</v>
      </c>
      <c r="B171" s="190">
        <v>45799</v>
      </c>
      <c r="C171" s="187" t="s">
        <v>158</v>
      </c>
      <c r="D171" s="187" t="s">
        <v>157</v>
      </c>
      <c r="E171" s="187">
        <v>11028</v>
      </c>
      <c r="F171" s="188">
        <v>4465.8999999999996</v>
      </c>
    </row>
    <row r="172" spans="1:7">
      <c r="A172" s="190">
        <v>45799</v>
      </c>
      <c r="B172" s="190">
        <v>45799</v>
      </c>
      <c r="C172" s="187" t="s">
        <v>66</v>
      </c>
      <c r="D172" s="187" t="s">
        <v>357</v>
      </c>
      <c r="E172" s="187">
        <v>11032</v>
      </c>
      <c r="F172" s="188">
        <v>7609.43</v>
      </c>
    </row>
    <row r="173" spans="1:7">
      <c r="A173" s="3" t="s">
        <v>269</v>
      </c>
      <c r="B173" s="3">
        <f>+VALUE(A173)</f>
        <v>45800</v>
      </c>
      <c r="C173" t="s">
        <v>73</v>
      </c>
      <c r="D173" s="4" t="s">
        <v>496</v>
      </c>
      <c r="G173" s="189">
        <v>-152.19</v>
      </c>
    </row>
    <row r="174" spans="1:7">
      <c r="A174" s="3" t="s">
        <v>269</v>
      </c>
      <c r="B174" s="3">
        <f>+VALUE(A174)</f>
        <v>45800</v>
      </c>
      <c r="C174" t="s">
        <v>73</v>
      </c>
      <c r="D174" s="4" t="s">
        <v>511</v>
      </c>
      <c r="G174" s="189">
        <v>-31.69</v>
      </c>
    </row>
    <row r="175" spans="1:7">
      <c r="A175" s="3" t="s">
        <v>269</v>
      </c>
      <c r="B175" s="3">
        <f>+VALUE(A175)</f>
        <v>45800</v>
      </c>
      <c r="C175" t="s">
        <v>77</v>
      </c>
      <c r="D175" s="4" t="s">
        <v>466</v>
      </c>
      <c r="G175" s="189">
        <v>-22.5</v>
      </c>
    </row>
    <row r="176" spans="1:7">
      <c r="A176" s="3" t="s">
        <v>269</v>
      </c>
      <c r="B176" s="3">
        <f>+VALUE(A176)</f>
        <v>45800</v>
      </c>
      <c r="C176" t="s">
        <v>75</v>
      </c>
      <c r="D176" s="4" t="s">
        <v>520</v>
      </c>
      <c r="G176" s="189">
        <v>-15</v>
      </c>
    </row>
    <row r="177" spans="1:7">
      <c r="A177" s="3" t="s">
        <v>269</v>
      </c>
      <c r="B177" s="3">
        <f>+VALUE(A177)</f>
        <v>45800</v>
      </c>
      <c r="C177" t="s">
        <v>77</v>
      </c>
      <c r="D177" s="4" t="s">
        <v>465</v>
      </c>
      <c r="G177" s="189">
        <v>-8.4</v>
      </c>
    </row>
    <row r="178" spans="1:7">
      <c r="A178" s="3" t="s">
        <v>273</v>
      </c>
      <c r="B178" s="3">
        <f>+VALUE(A178)</f>
        <v>45801</v>
      </c>
      <c r="C178" t="s">
        <v>73</v>
      </c>
      <c r="D178" s="4" t="s">
        <v>503</v>
      </c>
      <c r="G178" s="189">
        <v>-44.25</v>
      </c>
    </row>
    <row r="179" spans="1:7">
      <c r="A179" s="3" t="s">
        <v>273</v>
      </c>
      <c r="B179" s="3">
        <f>+VALUE(A179)</f>
        <v>45801</v>
      </c>
      <c r="C179" t="s">
        <v>73</v>
      </c>
      <c r="D179" s="4" t="s">
        <v>512</v>
      </c>
      <c r="G179" s="189">
        <v>-31.69</v>
      </c>
    </row>
    <row r="180" spans="1:7">
      <c r="A180" s="3" t="s">
        <v>267</v>
      </c>
      <c r="B180" s="3">
        <f>+VALUE(A180)</f>
        <v>45803</v>
      </c>
      <c r="C180" t="s">
        <v>81</v>
      </c>
      <c r="D180" s="4" t="s">
        <v>494</v>
      </c>
      <c r="G180" s="189">
        <v>-233.22</v>
      </c>
    </row>
    <row r="181" spans="1:7">
      <c r="A181" s="3" t="s">
        <v>267</v>
      </c>
      <c r="B181" s="3">
        <f>+VALUE(A181)</f>
        <v>45803</v>
      </c>
      <c r="C181" t="s">
        <v>81</v>
      </c>
      <c r="D181" s="4" t="s">
        <v>494</v>
      </c>
      <c r="G181" s="189">
        <v>-233.22</v>
      </c>
    </row>
    <row r="182" spans="1:7">
      <c r="A182" s="3" t="s">
        <v>267</v>
      </c>
      <c r="B182" s="3">
        <f>+VALUE(A182)</f>
        <v>45803</v>
      </c>
      <c r="C182" t="s">
        <v>77</v>
      </c>
      <c r="D182" s="4" t="s">
        <v>434</v>
      </c>
      <c r="G182" s="189">
        <v>-33.799999999999997</v>
      </c>
    </row>
    <row r="183" spans="1:7">
      <c r="A183" s="190">
        <v>45798</v>
      </c>
      <c r="B183" s="190">
        <v>45803</v>
      </c>
      <c r="C183" s="187" t="s">
        <v>228</v>
      </c>
      <c r="D183" s="187" t="s">
        <v>360</v>
      </c>
      <c r="E183" s="187">
        <v>11037</v>
      </c>
      <c r="F183" s="188">
        <v>528.20000000000005</v>
      </c>
    </row>
    <row r="184" spans="1:7">
      <c r="A184" s="190">
        <v>45777</v>
      </c>
      <c r="B184" s="190">
        <v>45803</v>
      </c>
      <c r="C184" s="187" t="s">
        <v>104</v>
      </c>
      <c r="D184" s="187" t="s">
        <v>198</v>
      </c>
      <c r="E184" s="187">
        <v>11043</v>
      </c>
      <c r="F184" s="188">
        <v>637.28</v>
      </c>
    </row>
    <row r="185" spans="1:7">
      <c r="A185" s="190">
        <v>45786</v>
      </c>
      <c r="B185" s="190">
        <v>45803</v>
      </c>
      <c r="C185" s="187" t="s">
        <v>112</v>
      </c>
      <c r="D185" s="187" t="s">
        <v>358</v>
      </c>
      <c r="E185" s="187">
        <v>11037</v>
      </c>
      <c r="F185" s="188">
        <v>1006.9</v>
      </c>
    </row>
    <row r="186" spans="1:7">
      <c r="A186" s="190">
        <v>45792</v>
      </c>
      <c r="B186" s="190">
        <v>45803</v>
      </c>
      <c r="C186" s="187" t="s">
        <v>227</v>
      </c>
      <c r="D186" s="187" t="s">
        <v>359</v>
      </c>
      <c r="E186" s="187">
        <v>11037</v>
      </c>
      <c r="F186" s="188">
        <v>1048</v>
      </c>
    </row>
    <row r="187" spans="1:7">
      <c r="A187" s="190">
        <v>45796</v>
      </c>
      <c r="B187" s="190">
        <v>45803</v>
      </c>
      <c r="C187" s="187" t="s">
        <v>66</v>
      </c>
      <c r="D187" s="187" t="s">
        <v>362</v>
      </c>
      <c r="E187" s="187">
        <v>11037</v>
      </c>
      <c r="F187" s="188">
        <v>1056.4000000000001</v>
      </c>
    </row>
    <row r="188" spans="1:7">
      <c r="A188" s="190">
        <v>45796</v>
      </c>
      <c r="B188" s="190">
        <v>45803</v>
      </c>
      <c r="C188" s="187" t="s">
        <v>66</v>
      </c>
      <c r="D188" s="187" t="s">
        <v>363</v>
      </c>
      <c r="E188" s="187">
        <v>11037</v>
      </c>
      <c r="F188" s="188">
        <v>1056.4000000000001</v>
      </c>
    </row>
    <row r="189" spans="1:7">
      <c r="A189" s="190">
        <v>45796</v>
      </c>
      <c r="B189" s="190">
        <v>45803</v>
      </c>
      <c r="C189" s="187" t="s">
        <v>66</v>
      </c>
      <c r="D189" s="187" t="s">
        <v>364</v>
      </c>
      <c r="E189" s="187">
        <v>11037</v>
      </c>
      <c r="F189" s="188">
        <v>1056.4000000000001</v>
      </c>
    </row>
    <row r="190" spans="1:7">
      <c r="A190" s="190">
        <v>45797</v>
      </c>
      <c r="B190" s="190">
        <v>45803</v>
      </c>
      <c r="C190" s="187" t="s">
        <v>66</v>
      </c>
      <c r="D190" s="187" t="s">
        <v>365</v>
      </c>
      <c r="E190" s="187">
        <v>11037</v>
      </c>
      <c r="F190" s="188">
        <v>1056.4000000000001</v>
      </c>
    </row>
    <row r="191" spans="1:7">
      <c r="A191" s="190">
        <v>45798</v>
      </c>
      <c r="B191" s="190">
        <v>45803</v>
      </c>
      <c r="C191" s="187" t="s">
        <v>66</v>
      </c>
      <c r="D191" s="187" t="s">
        <v>366</v>
      </c>
      <c r="E191" s="187">
        <v>11037</v>
      </c>
      <c r="F191" s="188">
        <v>1056.4000000000001</v>
      </c>
    </row>
    <row r="192" spans="1:7">
      <c r="A192" s="190">
        <v>45798</v>
      </c>
      <c r="B192" s="190">
        <v>45803</v>
      </c>
      <c r="C192" s="187" t="s">
        <v>228</v>
      </c>
      <c r="D192" s="187" t="s">
        <v>361</v>
      </c>
      <c r="E192" s="187">
        <v>11037</v>
      </c>
      <c r="F192" s="188">
        <v>1056.4000000000001</v>
      </c>
    </row>
    <row r="193" spans="1:7">
      <c r="A193" s="190">
        <v>45797</v>
      </c>
      <c r="B193" s="190">
        <v>45803</v>
      </c>
      <c r="C193" s="187" t="s">
        <v>229</v>
      </c>
      <c r="D193" s="187" t="s">
        <v>367</v>
      </c>
      <c r="E193" s="187">
        <v>11041</v>
      </c>
      <c r="F193" s="188">
        <v>1311.09</v>
      </c>
    </row>
    <row r="194" spans="1:7">
      <c r="A194" s="190">
        <v>45792</v>
      </c>
      <c r="B194" s="190">
        <v>45803</v>
      </c>
      <c r="C194" s="187" t="s">
        <v>121</v>
      </c>
      <c r="D194" s="187" t="s">
        <v>368</v>
      </c>
      <c r="E194" s="187">
        <v>11042</v>
      </c>
      <c r="F194" s="188">
        <v>4509.2</v>
      </c>
    </row>
    <row r="195" spans="1:7">
      <c r="A195" s="3" t="s">
        <v>277</v>
      </c>
      <c r="B195" s="3">
        <f>+VALUE(A195)</f>
        <v>45804</v>
      </c>
      <c r="C195" t="s">
        <v>77</v>
      </c>
      <c r="D195" s="4" t="s">
        <v>507</v>
      </c>
      <c r="G195" s="189">
        <v>-40.700000000000003</v>
      </c>
    </row>
    <row r="196" spans="1:7">
      <c r="A196" s="3" t="s">
        <v>277</v>
      </c>
      <c r="B196" s="3">
        <f>+VALUE(A196)</f>
        <v>45804</v>
      </c>
      <c r="C196" t="s">
        <v>77</v>
      </c>
      <c r="D196" s="4" t="s">
        <v>422</v>
      </c>
      <c r="G196" s="189">
        <v>-25.94</v>
      </c>
    </row>
    <row r="197" spans="1:7">
      <c r="A197" s="3" t="s">
        <v>277</v>
      </c>
      <c r="B197" s="3">
        <f>+VALUE(A197)</f>
        <v>45804</v>
      </c>
      <c r="C197" t="s">
        <v>73</v>
      </c>
      <c r="D197" s="4" t="s">
        <v>515</v>
      </c>
      <c r="G197" s="189">
        <v>-21.56</v>
      </c>
    </row>
    <row r="198" spans="1:7">
      <c r="A198" s="3" t="s">
        <v>277</v>
      </c>
      <c r="B198" s="3">
        <f>+VALUE(A198)</f>
        <v>45804</v>
      </c>
      <c r="C198" t="s">
        <v>75</v>
      </c>
      <c r="D198" s="4" t="s">
        <v>479</v>
      </c>
      <c r="G198" s="189">
        <v>-8.08</v>
      </c>
    </row>
    <row r="199" spans="1:7">
      <c r="A199" s="190">
        <v>45798</v>
      </c>
      <c r="B199" s="190">
        <v>45804</v>
      </c>
      <c r="C199" s="187" t="s">
        <v>234</v>
      </c>
      <c r="D199" s="187" t="s">
        <v>380</v>
      </c>
      <c r="E199" s="187">
        <v>11061</v>
      </c>
      <c r="F199" s="188">
        <v>750</v>
      </c>
    </row>
    <row r="200" spans="1:7">
      <c r="A200" s="190">
        <v>45796</v>
      </c>
      <c r="B200" s="190">
        <v>45804</v>
      </c>
      <c r="C200" s="187" t="s">
        <v>84</v>
      </c>
      <c r="D200" s="187" t="s">
        <v>370</v>
      </c>
      <c r="E200" s="187">
        <v>11047</v>
      </c>
      <c r="F200" s="188">
        <v>948</v>
      </c>
    </row>
    <row r="201" spans="1:7">
      <c r="A201" s="190">
        <v>45770</v>
      </c>
      <c r="B201" s="190">
        <v>45804</v>
      </c>
      <c r="C201" s="187" t="s">
        <v>120</v>
      </c>
      <c r="D201" s="187" t="s">
        <v>159</v>
      </c>
      <c r="E201" s="187">
        <v>11050</v>
      </c>
      <c r="F201" s="188">
        <v>1028.22</v>
      </c>
    </row>
    <row r="202" spans="1:7">
      <c r="A202" s="190">
        <v>45795</v>
      </c>
      <c r="B202" s="190">
        <v>45804</v>
      </c>
      <c r="C202" s="187" t="s">
        <v>120</v>
      </c>
      <c r="D202" s="187" t="s">
        <v>373</v>
      </c>
      <c r="E202" s="187">
        <v>11050</v>
      </c>
      <c r="F202" s="188">
        <v>1227.99</v>
      </c>
    </row>
    <row r="203" spans="1:7">
      <c r="A203" s="190">
        <v>45797</v>
      </c>
      <c r="B203" s="190">
        <v>45804</v>
      </c>
      <c r="C203" s="187" t="s">
        <v>235</v>
      </c>
      <c r="D203" s="187" t="s">
        <v>381</v>
      </c>
      <c r="E203" s="187">
        <v>11062</v>
      </c>
      <c r="F203" s="188">
        <v>1308.78</v>
      </c>
    </row>
    <row r="204" spans="1:7">
      <c r="A204" s="190">
        <v>45771</v>
      </c>
      <c r="B204" s="190">
        <v>45804</v>
      </c>
      <c r="C204" s="187" t="s">
        <v>84</v>
      </c>
      <c r="D204" s="187" t="s">
        <v>162</v>
      </c>
      <c r="E204" s="187">
        <v>11047</v>
      </c>
      <c r="F204" s="188">
        <v>1308.8599999999999</v>
      </c>
    </row>
    <row r="205" spans="1:7">
      <c r="A205" s="190">
        <v>45798</v>
      </c>
      <c r="B205" s="190">
        <v>45804</v>
      </c>
      <c r="C205" s="187" t="s">
        <v>93</v>
      </c>
      <c r="D205" s="187" t="s">
        <v>369</v>
      </c>
      <c r="E205" s="187">
        <v>11046</v>
      </c>
      <c r="F205" s="188">
        <v>1546.74</v>
      </c>
    </row>
    <row r="206" spans="1:7">
      <c r="A206" s="190">
        <v>45798</v>
      </c>
      <c r="B206" s="190">
        <v>45804</v>
      </c>
      <c r="C206" s="187" t="s">
        <v>64</v>
      </c>
      <c r="D206" s="187" t="s">
        <v>379</v>
      </c>
      <c r="E206" s="187">
        <v>11060</v>
      </c>
      <c r="F206" s="188">
        <v>1743.06</v>
      </c>
    </row>
    <row r="207" spans="1:7">
      <c r="A207" s="190">
        <v>45792</v>
      </c>
      <c r="B207" s="190">
        <v>45804</v>
      </c>
      <c r="C207" s="187" t="s">
        <v>231</v>
      </c>
      <c r="D207" s="187" t="s">
        <v>372</v>
      </c>
      <c r="E207" s="187">
        <v>11049</v>
      </c>
      <c r="F207" s="188">
        <v>1872.02</v>
      </c>
    </row>
    <row r="208" spans="1:7">
      <c r="A208" s="190">
        <v>45798</v>
      </c>
      <c r="B208" s="190">
        <v>45804</v>
      </c>
      <c r="C208" s="187" t="s">
        <v>92</v>
      </c>
      <c r="D208" s="187" t="s">
        <v>376</v>
      </c>
      <c r="E208" s="187">
        <v>11057</v>
      </c>
      <c r="F208" s="188">
        <v>2271.2600000000002</v>
      </c>
    </row>
    <row r="209" spans="1:7">
      <c r="A209" s="190">
        <v>45797</v>
      </c>
      <c r="B209" s="190">
        <v>45804</v>
      </c>
      <c r="C209" s="187" t="s">
        <v>94</v>
      </c>
      <c r="D209" s="187" t="s">
        <v>382</v>
      </c>
      <c r="E209" s="187">
        <v>11063</v>
      </c>
      <c r="F209" s="188">
        <v>2271.2600000000002</v>
      </c>
    </row>
    <row r="210" spans="1:7">
      <c r="A210" s="190">
        <v>45798</v>
      </c>
      <c r="B210" s="190">
        <v>45804</v>
      </c>
      <c r="C210" s="187" t="s">
        <v>87</v>
      </c>
      <c r="D210" s="187" t="s">
        <v>377</v>
      </c>
      <c r="E210" s="187">
        <v>11058</v>
      </c>
      <c r="F210" s="188">
        <v>2291.2600000000002</v>
      </c>
    </row>
    <row r="211" spans="1:7">
      <c r="A211" s="190">
        <v>45798</v>
      </c>
      <c r="B211" s="190">
        <v>45804</v>
      </c>
      <c r="C211" s="187" t="s">
        <v>233</v>
      </c>
      <c r="D211" s="187" t="s">
        <v>378</v>
      </c>
      <c r="E211" s="187">
        <v>11059</v>
      </c>
      <c r="F211" s="188">
        <v>2364.0500000000002</v>
      </c>
    </row>
    <row r="212" spans="1:7">
      <c r="A212" s="190">
        <v>45797</v>
      </c>
      <c r="B212" s="190">
        <v>45804</v>
      </c>
      <c r="C212" s="187" t="s">
        <v>236</v>
      </c>
      <c r="D212" s="187" t="s">
        <v>383</v>
      </c>
      <c r="E212" s="187">
        <v>11064</v>
      </c>
      <c r="F212" s="188">
        <v>2631.9</v>
      </c>
    </row>
    <row r="213" spans="1:7">
      <c r="A213" s="190">
        <v>45798</v>
      </c>
      <c r="B213" s="190">
        <v>45804</v>
      </c>
      <c r="C213" s="187" t="s">
        <v>232</v>
      </c>
      <c r="D213" s="187" t="s">
        <v>375</v>
      </c>
      <c r="E213" s="187">
        <v>11056</v>
      </c>
      <c r="F213" s="188">
        <v>6813.74</v>
      </c>
    </row>
    <row r="214" spans="1:7">
      <c r="A214" s="190">
        <v>45789</v>
      </c>
      <c r="B214" s="190">
        <v>45804</v>
      </c>
      <c r="C214" s="187" t="s">
        <v>230</v>
      </c>
      <c r="D214" s="187" t="s">
        <v>371</v>
      </c>
      <c r="E214" s="187">
        <v>11048</v>
      </c>
      <c r="F214" s="188">
        <v>8030.76</v>
      </c>
    </row>
    <row r="215" spans="1:7">
      <c r="A215" s="190">
        <v>45798</v>
      </c>
      <c r="B215" s="190">
        <v>45804</v>
      </c>
      <c r="C215" s="187" t="s">
        <v>114</v>
      </c>
      <c r="D215" s="187" t="s">
        <v>374</v>
      </c>
      <c r="E215" s="187">
        <v>11055</v>
      </c>
      <c r="F215" s="188">
        <v>9658.18</v>
      </c>
    </row>
    <row r="216" spans="1:7">
      <c r="A216" s="3" t="s">
        <v>268</v>
      </c>
      <c r="B216" s="3">
        <f>+VALUE(A216)</f>
        <v>45805</v>
      </c>
      <c r="C216" t="s">
        <v>77</v>
      </c>
      <c r="D216" s="4" t="s">
        <v>495</v>
      </c>
      <c r="G216" s="189">
        <v>-193.8</v>
      </c>
    </row>
    <row r="217" spans="1:7">
      <c r="A217" s="3" t="s">
        <v>268</v>
      </c>
      <c r="B217" s="3">
        <f>+VALUE(A217)</f>
        <v>45805</v>
      </c>
      <c r="C217" t="s">
        <v>73</v>
      </c>
      <c r="D217" s="4" t="s">
        <v>502</v>
      </c>
      <c r="G217" s="189">
        <v>-45.43</v>
      </c>
    </row>
    <row r="218" spans="1:7">
      <c r="A218" s="3" t="s">
        <v>268</v>
      </c>
      <c r="B218" s="3">
        <f>+VALUE(A218)</f>
        <v>45805</v>
      </c>
      <c r="C218" t="s">
        <v>73</v>
      </c>
      <c r="D218" s="4" t="s">
        <v>509</v>
      </c>
      <c r="G218" s="189">
        <v>-40.28</v>
      </c>
    </row>
    <row r="219" spans="1:7">
      <c r="A219" s="3" t="s">
        <v>268</v>
      </c>
      <c r="B219" s="3">
        <f>+VALUE(A219)</f>
        <v>45805</v>
      </c>
      <c r="C219" t="s">
        <v>75</v>
      </c>
      <c r="D219" s="4" t="s">
        <v>519</v>
      </c>
      <c r="G219" s="189">
        <v>-18.600000000000001</v>
      </c>
    </row>
    <row r="220" spans="1:7">
      <c r="A220" s="3" t="s">
        <v>268</v>
      </c>
      <c r="B220" s="3">
        <f>+VALUE(A220)</f>
        <v>45805</v>
      </c>
      <c r="C220" t="s">
        <v>75</v>
      </c>
      <c r="D220" s="4" t="s">
        <v>483</v>
      </c>
      <c r="G220" s="189">
        <v>-16.170000000000002</v>
      </c>
    </row>
    <row r="221" spans="1:7">
      <c r="A221" s="3" t="s">
        <v>268</v>
      </c>
      <c r="B221" s="3">
        <f>+VALUE(A221)</f>
        <v>45805</v>
      </c>
      <c r="C221" t="s">
        <v>75</v>
      </c>
      <c r="D221" s="4" t="s">
        <v>482</v>
      </c>
      <c r="G221" s="189">
        <v>-8.1</v>
      </c>
    </row>
    <row r="222" spans="1:7">
      <c r="A222" s="3" t="s">
        <v>268</v>
      </c>
      <c r="B222" s="3">
        <f>+VALUE(A222)</f>
        <v>45805</v>
      </c>
      <c r="C222" t="s">
        <v>75</v>
      </c>
      <c r="D222" s="4" t="s">
        <v>480</v>
      </c>
      <c r="G222" s="189">
        <v>-8.08</v>
      </c>
    </row>
    <row r="223" spans="1:7">
      <c r="A223" s="190">
        <v>45770</v>
      </c>
      <c r="B223" s="190">
        <v>45805</v>
      </c>
      <c r="C223" s="187" t="s">
        <v>68</v>
      </c>
      <c r="D223" s="187" t="s">
        <v>129</v>
      </c>
      <c r="E223" s="187">
        <v>11073</v>
      </c>
      <c r="F223" s="188">
        <v>529.52</v>
      </c>
    </row>
    <row r="224" spans="1:7">
      <c r="A224" s="190">
        <v>45798</v>
      </c>
      <c r="B224" s="190">
        <v>45805</v>
      </c>
      <c r="C224" s="187" t="s">
        <v>88</v>
      </c>
      <c r="D224" s="187" t="s">
        <v>394</v>
      </c>
      <c r="E224" s="187">
        <v>11076</v>
      </c>
      <c r="F224" s="188">
        <v>1522.35</v>
      </c>
    </row>
    <row r="225" spans="1:6">
      <c r="A225" s="190">
        <v>45793</v>
      </c>
      <c r="B225" s="190">
        <v>45805</v>
      </c>
      <c r="C225" s="187" t="s">
        <v>71</v>
      </c>
      <c r="D225" s="187" t="s">
        <v>395</v>
      </c>
      <c r="E225" s="187">
        <v>11077</v>
      </c>
      <c r="F225" s="188">
        <v>1737.45</v>
      </c>
    </row>
    <row r="226" spans="1:6">
      <c r="A226" s="190">
        <v>45793</v>
      </c>
      <c r="B226" s="190">
        <v>45805</v>
      </c>
      <c r="C226" s="187" t="s">
        <v>241</v>
      </c>
      <c r="D226" s="187" t="s">
        <v>403</v>
      </c>
      <c r="E226" s="187">
        <v>11085</v>
      </c>
      <c r="F226" s="188">
        <v>1759.07</v>
      </c>
    </row>
    <row r="227" spans="1:6">
      <c r="A227" s="190">
        <v>45758</v>
      </c>
      <c r="B227" s="190">
        <v>45805</v>
      </c>
      <c r="C227" s="187" t="s">
        <v>70</v>
      </c>
      <c r="D227" s="187" t="s">
        <v>144</v>
      </c>
      <c r="E227" s="187">
        <v>11088</v>
      </c>
      <c r="F227" s="188">
        <v>1855.66</v>
      </c>
    </row>
    <row r="228" spans="1:6">
      <c r="A228" s="190">
        <v>45792</v>
      </c>
      <c r="B228" s="190">
        <v>45805</v>
      </c>
      <c r="C228" s="187" t="s">
        <v>85</v>
      </c>
      <c r="D228" s="187" t="s">
        <v>406</v>
      </c>
      <c r="E228" s="187">
        <v>11089</v>
      </c>
      <c r="F228" s="188">
        <v>2165.65</v>
      </c>
    </row>
    <row r="229" spans="1:6">
      <c r="A229" s="190">
        <v>45797</v>
      </c>
      <c r="B229" s="190">
        <v>45805</v>
      </c>
      <c r="C229" s="187" t="s">
        <v>90</v>
      </c>
      <c r="D229" s="187" t="s">
        <v>385</v>
      </c>
      <c r="E229" s="187">
        <v>11066</v>
      </c>
      <c r="F229" s="188">
        <v>2253</v>
      </c>
    </row>
    <row r="230" spans="1:6">
      <c r="A230" s="190">
        <v>45793</v>
      </c>
      <c r="B230" s="190">
        <v>45805</v>
      </c>
      <c r="C230" s="187" t="s">
        <v>91</v>
      </c>
      <c r="D230" s="187" t="s">
        <v>396</v>
      </c>
      <c r="E230" s="187">
        <v>11078</v>
      </c>
      <c r="F230" s="188">
        <v>2253.1999999999998</v>
      </c>
    </row>
    <row r="231" spans="1:6">
      <c r="A231" s="190">
        <v>45792</v>
      </c>
      <c r="B231" s="190">
        <v>45805</v>
      </c>
      <c r="C231" s="187" t="s">
        <v>96</v>
      </c>
      <c r="D231" s="187" t="s">
        <v>409</v>
      </c>
      <c r="E231" s="187">
        <v>11092</v>
      </c>
      <c r="F231" s="188">
        <v>2253.1999999999998</v>
      </c>
    </row>
    <row r="232" spans="1:6">
      <c r="A232" s="190">
        <v>45794</v>
      </c>
      <c r="B232" s="190">
        <v>45805</v>
      </c>
      <c r="C232" s="187" t="s">
        <v>98</v>
      </c>
      <c r="D232" s="187" t="s">
        <v>400</v>
      </c>
      <c r="E232" s="187">
        <v>11082</v>
      </c>
      <c r="F232" s="188">
        <v>2253.1999999999998</v>
      </c>
    </row>
    <row r="233" spans="1:6">
      <c r="A233" s="190">
        <v>45794</v>
      </c>
      <c r="B233" s="190">
        <v>45805</v>
      </c>
      <c r="C233" s="187" t="s">
        <v>98</v>
      </c>
      <c r="D233" s="187" t="s">
        <v>401</v>
      </c>
      <c r="E233" s="187">
        <v>11083</v>
      </c>
      <c r="F233" s="188">
        <v>2253.1999999999998</v>
      </c>
    </row>
    <row r="234" spans="1:6">
      <c r="A234" s="190">
        <v>45794</v>
      </c>
      <c r="B234" s="190">
        <v>45805</v>
      </c>
      <c r="C234" s="187" t="s">
        <v>98</v>
      </c>
      <c r="D234" s="187" t="s">
        <v>402</v>
      </c>
      <c r="E234" s="187">
        <v>11084</v>
      </c>
      <c r="F234" s="188">
        <v>2253.1999999999998</v>
      </c>
    </row>
    <row r="235" spans="1:6">
      <c r="A235" s="190">
        <v>45794</v>
      </c>
      <c r="B235" s="190">
        <v>45805</v>
      </c>
      <c r="C235" s="187" t="s">
        <v>98</v>
      </c>
      <c r="D235" s="187" t="s">
        <v>408</v>
      </c>
      <c r="E235" s="187">
        <v>11091</v>
      </c>
      <c r="F235" s="188">
        <v>2253.1999999999998</v>
      </c>
    </row>
    <row r="236" spans="1:6">
      <c r="A236" s="190">
        <v>45797</v>
      </c>
      <c r="B236" s="190">
        <v>45805</v>
      </c>
      <c r="C236" s="187" t="s">
        <v>237</v>
      </c>
      <c r="D236" s="187" t="s">
        <v>387</v>
      </c>
      <c r="E236" s="187">
        <v>11068</v>
      </c>
      <c r="F236" s="188">
        <v>2271.2600000000002</v>
      </c>
    </row>
    <row r="237" spans="1:6">
      <c r="A237" s="190">
        <v>45797</v>
      </c>
      <c r="B237" s="190">
        <v>45805</v>
      </c>
      <c r="C237" s="187" t="s">
        <v>84</v>
      </c>
      <c r="D237" s="187" t="s">
        <v>386</v>
      </c>
      <c r="E237" s="187">
        <v>11067</v>
      </c>
      <c r="F237" s="188">
        <v>2272</v>
      </c>
    </row>
    <row r="238" spans="1:6">
      <c r="A238" s="190">
        <v>45791</v>
      </c>
      <c r="B238" s="190">
        <v>45805</v>
      </c>
      <c r="C238" s="187" t="s">
        <v>216</v>
      </c>
      <c r="D238" s="187" t="s">
        <v>397</v>
      </c>
      <c r="E238" s="187">
        <v>11079</v>
      </c>
      <c r="F238" s="188">
        <v>2726.93</v>
      </c>
    </row>
    <row r="239" spans="1:6">
      <c r="A239" s="190">
        <v>45791</v>
      </c>
      <c r="B239" s="190">
        <v>45805</v>
      </c>
      <c r="C239" s="187" t="s">
        <v>1</v>
      </c>
      <c r="D239" s="187" t="s">
        <v>405</v>
      </c>
      <c r="E239" s="187">
        <v>11087</v>
      </c>
      <c r="F239" s="188">
        <v>2780</v>
      </c>
    </row>
    <row r="240" spans="1:6">
      <c r="A240" s="190">
        <v>45797</v>
      </c>
      <c r="B240" s="190">
        <v>45805</v>
      </c>
      <c r="C240" s="187" t="s">
        <v>93</v>
      </c>
      <c r="D240" s="187" t="s">
        <v>384</v>
      </c>
      <c r="E240" s="187">
        <v>11065</v>
      </c>
      <c r="F240" s="188">
        <v>2799.46</v>
      </c>
    </row>
    <row r="241" spans="1:7">
      <c r="A241" s="190">
        <v>45796</v>
      </c>
      <c r="B241" s="190">
        <v>45805</v>
      </c>
      <c r="C241" s="187" t="s">
        <v>120</v>
      </c>
      <c r="D241" s="187" t="s">
        <v>392</v>
      </c>
      <c r="E241" s="187">
        <v>11074</v>
      </c>
      <c r="F241" s="188">
        <v>3585.64</v>
      </c>
    </row>
    <row r="242" spans="1:7">
      <c r="A242" s="190">
        <v>45793</v>
      </c>
      <c r="B242" s="190">
        <v>45805</v>
      </c>
      <c r="C242" s="187" t="s">
        <v>241</v>
      </c>
      <c r="D242" s="187" t="s">
        <v>404</v>
      </c>
      <c r="E242" s="187">
        <v>11086</v>
      </c>
      <c r="F242" s="188">
        <v>3745.9</v>
      </c>
    </row>
    <row r="243" spans="1:7">
      <c r="A243" s="190">
        <v>45791</v>
      </c>
      <c r="B243" s="190">
        <v>45805</v>
      </c>
      <c r="C243" s="187" t="s">
        <v>86</v>
      </c>
      <c r="D243" s="187" t="s">
        <v>407</v>
      </c>
      <c r="E243" s="187">
        <v>11090</v>
      </c>
      <c r="F243" s="188">
        <v>3782.53</v>
      </c>
    </row>
    <row r="244" spans="1:7">
      <c r="A244" s="190">
        <v>45791</v>
      </c>
      <c r="B244" s="190">
        <v>45805</v>
      </c>
      <c r="C244" s="187" t="s">
        <v>83</v>
      </c>
      <c r="D244" s="187" t="s">
        <v>399</v>
      </c>
      <c r="E244" s="187">
        <v>11081</v>
      </c>
      <c r="F244" s="188">
        <v>4380.57</v>
      </c>
    </row>
    <row r="245" spans="1:7">
      <c r="A245" s="190">
        <v>45796</v>
      </c>
      <c r="B245" s="190">
        <v>45805</v>
      </c>
      <c r="C245" s="187" t="s">
        <v>120</v>
      </c>
      <c r="D245" s="187" t="s">
        <v>388</v>
      </c>
      <c r="E245" s="187">
        <v>11069</v>
      </c>
      <c r="F245" s="188">
        <v>4873.24</v>
      </c>
    </row>
    <row r="246" spans="1:7">
      <c r="A246" s="190">
        <v>45796</v>
      </c>
      <c r="B246" s="190">
        <v>45805</v>
      </c>
      <c r="C246" s="187" t="s">
        <v>240</v>
      </c>
      <c r="D246" s="187" t="s">
        <v>393</v>
      </c>
      <c r="E246" s="187">
        <v>11075</v>
      </c>
      <c r="F246" s="188">
        <v>8557</v>
      </c>
    </row>
    <row r="247" spans="1:7">
      <c r="A247" s="190">
        <v>45791</v>
      </c>
      <c r="B247" s="190">
        <v>45805</v>
      </c>
      <c r="C247" s="187" t="s">
        <v>83</v>
      </c>
      <c r="D247" s="187" t="s">
        <v>398</v>
      </c>
      <c r="E247" s="187">
        <v>11080</v>
      </c>
      <c r="F247" s="188">
        <v>9276.98</v>
      </c>
    </row>
    <row r="248" spans="1:7">
      <c r="A248" s="190">
        <v>45786</v>
      </c>
      <c r="B248" s="190">
        <v>45805</v>
      </c>
      <c r="C248" s="187" t="s">
        <v>239</v>
      </c>
      <c r="D248" s="187" t="s">
        <v>390</v>
      </c>
      <c r="E248" s="187">
        <v>11071</v>
      </c>
      <c r="F248" s="188">
        <v>16410.439999999999</v>
      </c>
    </row>
    <row r="249" spans="1:7">
      <c r="A249" s="190">
        <v>45786</v>
      </c>
      <c r="B249" s="190">
        <v>45805</v>
      </c>
      <c r="C249" s="187" t="s">
        <v>239</v>
      </c>
      <c r="D249" s="187" t="s">
        <v>391</v>
      </c>
      <c r="E249" s="187">
        <v>11072</v>
      </c>
      <c r="F249" s="188">
        <v>18447.12</v>
      </c>
    </row>
    <row r="250" spans="1:7">
      <c r="A250" s="190">
        <v>45785</v>
      </c>
      <c r="B250" s="190">
        <v>45805</v>
      </c>
      <c r="C250" s="187" t="s">
        <v>238</v>
      </c>
      <c r="D250" s="187" t="s">
        <v>389</v>
      </c>
      <c r="E250" s="187">
        <v>11070</v>
      </c>
      <c r="F250" s="188">
        <v>20395.330000000002</v>
      </c>
    </row>
    <row r="251" spans="1:7">
      <c r="A251" s="3" t="s">
        <v>266</v>
      </c>
      <c r="B251" s="3">
        <f>+VALUE(A251)</f>
        <v>45806</v>
      </c>
      <c r="C251" t="s">
        <v>73</v>
      </c>
      <c r="D251" s="4" t="s">
        <v>491</v>
      </c>
      <c r="G251" s="189">
        <v>-782.23</v>
      </c>
    </row>
    <row r="252" spans="1:7">
      <c r="A252" s="3" t="s">
        <v>266</v>
      </c>
      <c r="B252" s="3">
        <f>+VALUE(A252)</f>
        <v>45806</v>
      </c>
      <c r="C252" t="s">
        <v>73</v>
      </c>
      <c r="D252" s="4" t="s">
        <v>501</v>
      </c>
      <c r="G252" s="189">
        <v>-64.209999999999994</v>
      </c>
    </row>
    <row r="253" spans="1:7">
      <c r="A253" s="3" t="s">
        <v>266</v>
      </c>
      <c r="B253" s="3">
        <f>+VALUE(A253)</f>
        <v>45806</v>
      </c>
      <c r="C253" t="s">
        <v>75</v>
      </c>
      <c r="D253" s="4" t="s">
        <v>484</v>
      </c>
      <c r="G253" s="189">
        <v>-19.399999999999999</v>
      </c>
    </row>
    <row r="254" spans="1:7">
      <c r="A254" s="190">
        <v>45783</v>
      </c>
      <c r="B254" s="190">
        <v>45806</v>
      </c>
      <c r="C254" s="187" t="s">
        <v>245</v>
      </c>
      <c r="D254" s="187" t="s">
        <v>418</v>
      </c>
      <c r="E254" s="187">
        <v>11107</v>
      </c>
      <c r="F254" s="188">
        <v>650</v>
      </c>
    </row>
    <row r="255" spans="1:7">
      <c r="A255" s="190">
        <v>45784</v>
      </c>
      <c r="B255" s="190">
        <v>45806</v>
      </c>
      <c r="C255" s="187" t="s">
        <v>226</v>
      </c>
      <c r="D255" s="187" t="s">
        <v>419</v>
      </c>
      <c r="E255" s="187">
        <v>11107</v>
      </c>
      <c r="F255" s="188">
        <v>900</v>
      </c>
    </row>
    <row r="256" spans="1:7">
      <c r="A256" s="190">
        <v>45785</v>
      </c>
      <c r="B256" s="190">
        <v>45806</v>
      </c>
      <c r="C256" s="187" t="s">
        <v>226</v>
      </c>
      <c r="D256" s="187" t="s">
        <v>420</v>
      </c>
      <c r="E256" s="187">
        <v>11107</v>
      </c>
      <c r="F256" s="188">
        <v>1000</v>
      </c>
    </row>
    <row r="257" spans="1:7">
      <c r="A257" s="190">
        <v>45804</v>
      </c>
      <c r="B257" s="190">
        <v>45806</v>
      </c>
      <c r="C257" s="187" t="s">
        <v>106</v>
      </c>
      <c r="D257" s="187" t="s">
        <v>422</v>
      </c>
      <c r="E257" s="187">
        <v>11108</v>
      </c>
      <c r="F257" s="188">
        <v>1729.2</v>
      </c>
    </row>
    <row r="258" spans="1:7">
      <c r="A258" s="190">
        <v>45803</v>
      </c>
      <c r="B258" s="190">
        <v>45806</v>
      </c>
      <c r="C258" s="187" t="s">
        <v>226</v>
      </c>
      <c r="D258" s="187" t="s">
        <v>421</v>
      </c>
      <c r="E258" s="187">
        <v>11107</v>
      </c>
      <c r="F258" s="188">
        <v>2000</v>
      </c>
    </row>
    <row r="259" spans="1:7">
      <c r="A259" s="190">
        <v>45798</v>
      </c>
      <c r="B259" s="190">
        <v>45806</v>
      </c>
      <c r="C259" s="187" t="s">
        <v>66</v>
      </c>
      <c r="D259" s="187" t="s">
        <v>416</v>
      </c>
      <c r="E259" s="187">
        <v>11104</v>
      </c>
      <c r="F259" s="188">
        <v>2059.98</v>
      </c>
    </row>
    <row r="260" spans="1:7">
      <c r="A260" s="190">
        <v>45803</v>
      </c>
      <c r="B260" s="190">
        <v>45806</v>
      </c>
      <c r="C260" s="187" t="s">
        <v>102</v>
      </c>
      <c r="D260" s="187" t="s">
        <v>410</v>
      </c>
      <c r="E260" s="187">
        <v>11093</v>
      </c>
      <c r="F260" s="188">
        <v>4634.96</v>
      </c>
    </row>
    <row r="261" spans="1:7">
      <c r="A261" s="190">
        <v>45800</v>
      </c>
      <c r="B261" s="190">
        <v>45806</v>
      </c>
      <c r="C261" s="187" t="s">
        <v>99</v>
      </c>
      <c r="D261" s="187" t="s">
        <v>415</v>
      </c>
      <c r="E261" s="187">
        <v>11103</v>
      </c>
      <c r="F261" s="188">
        <v>5510.51</v>
      </c>
    </row>
    <row r="262" spans="1:7">
      <c r="A262" s="190">
        <v>45803</v>
      </c>
      <c r="B262" s="190">
        <v>45806</v>
      </c>
      <c r="C262" s="187" t="s">
        <v>244</v>
      </c>
      <c r="D262" s="187" t="s">
        <v>417</v>
      </c>
      <c r="E262" s="187">
        <v>11106</v>
      </c>
      <c r="F262" s="188">
        <v>5751.04</v>
      </c>
    </row>
    <row r="263" spans="1:7">
      <c r="A263" s="190">
        <v>45799</v>
      </c>
      <c r="B263" s="190">
        <v>45806</v>
      </c>
      <c r="C263" s="187" t="s">
        <v>243</v>
      </c>
      <c r="D263" s="187" t="s">
        <v>414</v>
      </c>
      <c r="E263" s="187">
        <v>11102</v>
      </c>
      <c r="F263" s="188">
        <v>5872.76</v>
      </c>
    </row>
    <row r="264" spans="1:7">
      <c r="A264" s="190">
        <v>45799</v>
      </c>
      <c r="B264" s="190">
        <v>45806</v>
      </c>
      <c r="C264" s="187" t="s">
        <v>242</v>
      </c>
      <c r="D264" s="187" t="s">
        <v>413</v>
      </c>
      <c r="E264" s="187">
        <v>11101</v>
      </c>
      <c r="F264" s="188">
        <v>7022.5</v>
      </c>
    </row>
    <row r="265" spans="1:7">
      <c r="A265" s="190">
        <v>45802</v>
      </c>
      <c r="B265" s="190">
        <v>45806</v>
      </c>
      <c r="C265" s="187" t="s">
        <v>63</v>
      </c>
      <c r="D265" s="187" t="s">
        <v>412</v>
      </c>
      <c r="E265" s="187">
        <v>11100</v>
      </c>
      <c r="F265" s="188">
        <v>11908.9</v>
      </c>
    </row>
    <row r="266" spans="1:7">
      <c r="A266" s="190">
        <v>45800</v>
      </c>
      <c r="B266" s="190">
        <v>45806</v>
      </c>
      <c r="C266" s="187" t="s">
        <v>215</v>
      </c>
      <c r="D266" s="187" t="s">
        <v>411</v>
      </c>
      <c r="E266" s="187">
        <v>11099</v>
      </c>
      <c r="F266" s="188">
        <v>20774</v>
      </c>
    </row>
    <row r="267" spans="1:7">
      <c r="A267" s="3" t="s">
        <v>282</v>
      </c>
      <c r="B267" s="3">
        <f>+VALUE(A267)</f>
        <v>45807</v>
      </c>
      <c r="C267" t="s">
        <v>75</v>
      </c>
      <c r="D267" s="4" t="s">
        <v>518</v>
      </c>
      <c r="G267" s="189">
        <v>-19.399999999999999</v>
      </c>
    </row>
    <row r="268" spans="1:7">
      <c r="A268" s="3" t="s">
        <v>282</v>
      </c>
      <c r="B268" s="3">
        <f>+VALUE(A268)</f>
        <v>45807</v>
      </c>
      <c r="C268" t="s">
        <v>73</v>
      </c>
      <c r="D268" s="4" t="s">
        <v>521</v>
      </c>
      <c r="G268" s="189">
        <v>-10.78</v>
      </c>
    </row>
    <row r="269" spans="1:7">
      <c r="A269" s="3" t="s">
        <v>282</v>
      </c>
      <c r="B269" s="3">
        <f>+VALUE(A269)</f>
        <v>45807</v>
      </c>
      <c r="C269" t="s">
        <v>73</v>
      </c>
      <c r="D269" s="4" t="s">
        <v>522</v>
      </c>
      <c r="G269" s="189">
        <v>-10.78</v>
      </c>
    </row>
    <row r="270" spans="1:7">
      <c r="A270" s="3" t="s">
        <v>282</v>
      </c>
      <c r="B270" s="3">
        <f>+VALUE(A270)</f>
        <v>45807</v>
      </c>
      <c r="C270" t="s">
        <v>75</v>
      </c>
      <c r="D270" s="4" t="s">
        <v>524</v>
      </c>
      <c r="G270" s="189">
        <v>-8.08</v>
      </c>
    </row>
    <row r="271" spans="1:7">
      <c r="A271" s="3" t="s">
        <v>282</v>
      </c>
      <c r="B271" s="3">
        <f>+VALUE(A271)</f>
        <v>45807</v>
      </c>
      <c r="C271" t="s">
        <v>75</v>
      </c>
      <c r="D271" s="4" t="s">
        <v>525</v>
      </c>
      <c r="G271" s="189">
        <v>-8.08</v>
      </c>
    </row>
    <row r="272" spans="1:7">
      <c r="A272" s="190">
        <v>45799</v>
      </c>
      <c r="B272" s="190">
        <v>45807</v>
      </c>
      <c r="C272" s="187" t="s">
        <v>66</v>
      </c>
      <c r="D272" s="187" t="s">
        <v>474</v>
      </c>
      <c r="E272" s="187">
        <v>11154</v>
      </c>
      <c r="F272" s="188">
        <v>528.20000000000005</v>
      </c>
    </row>
    <row r="273" spans="1:6">
      <c r="A273" s="190">
        <v>45800</v>
      </c>
      <c r="B273" s="190">
        <v>45807</v>
      </c>
      <c r="C273" s="187" t="s">
        <v>66</v>
      </c>
      <c r="D273" s="187" t="s">
        <v>476</v>
      </c>
      <c r="E273" s="187">
        <v>11154</v>
      </c>
      <c r="F273" s="188">
        <v>528.20000000000005</v>
      </c>
    </row>
    <row r="274" spans="1:6">
      <c r="A274" s="190">
        <v>45800</v>
      </c>
      <c r="B274" s="190">
        <v>45807</v>
      </c>
      <c r="C274" s="187" t="s">
        <v>66</v>
      </c>
      <c r="D274" s="187" t="s">
        <v>477</v>
      </c>
      <c r="E274" s="187">
        <v>11154</v>
      </c>
      <c r="F274" s="188">
        <v>528.20000000000005</v>
      </c>
    </row>
    <row r="275" spans="1:6">
      <c r="A275" s="190">
        <v>45800</v>
      </c>
      <c r="B275" s="190">
        <v>45807</v>
      </c>
      <c r="C275" s="187" t="s">
        <v>66</v>
      </c>
      <c r="D275" s="187" t="s">
        <v>478</v>
      </c>
      <c r="E275" s="187">
        <v>11154</v>
      </c>
      <c r="F275" s="188">
        <v>528.20000000000005</v>
      </c>
    </row>
    <row r="276" spans="1:6">
      <c r="A276" s="190">
        <v>45805</v>
      </c>
      <c r="B276" s="190">
        <v>45807</v>
      </c>
      <c r="C276" s="187" t="s">
        <v>66</v>
      </c>
      <c r="D276" s="187" t="s">
        <v>486</v>
      </c>
      <c r="E276" s="187">
        <v>11155</v>
      </c>
      <c r="F276" s="188">
        <v>539</v>
      </c>
    </row>
    <row r="277" spans="1:6">
      <c r="A277" s="190">
        <v>45805</v>
      </c>
      <c r="B277" s="190">
        <v>45807</v>
      </c>
      <c r="C277" s="187" t="s">
        <v>257</v>
      </c>
      <c r="D277" s="187" t="s">
        <v>480</v>
      </c>
      <c r="E277" s="187">
        <v>11155</v>
      </c>
      <c r="F277" s="188">
        <v>539</v>
      </c>
    </row>
    <row r="278" spans="1:6">
      <c r="A278" s="190">
        <v>45804</v>
      </c>
      <c r="B278" s="190">
        <v>45807</v>
      </c>
      <c r="C278" s="187" t="s">
        <v>256</v>
      </c>
      <c r="D278" s="187" t="s">
        <v>479</v>
      </c>
      <c r="E278" s="187">
        <v>11155</v>
      </c>
      <c r="F278" s="188">
        <v>539</v>
      </c>
    </row>
    <row r="279" spans="1:6">
      <c r="A279" s="190">
        <v>45803</v>
      </c>
      <c r="B279" s="190">
        <v>45807</v>
      </c>
      <c r="C279" s="187" t="s">
        <v>60</v>
      </c>
      <c r="D279" s="187" t="s">
        <v>473</v>
      </c>
      <c r="E279" s="187">
        <v>11154</v>
      </c>
      <c r="F279" s="188">
        <v>539</v>
      </c>
    </row>
    <row r="280" spans="1:6">
      <c r="A280" s="190">
        <v>45805</v>
      </c>
      <c r="B280" s="190">
        <v>45807</v>
      </c>
      <c r="C280" s="187" t="s">
        <v>60</v>
      </c>
      <c r="D280" s="187" t="s">
        <v>481</v>
      </c>
      <c r="E280" s="187">
        <v>11155</v>
      </c>
      <c r="F280" s="188">
        <v>539</v>
      </c>
    </row>
    <row r="281" spans="1:6">
      <c r="A281" s="190">
        <v>45805</v>
      </c>
      <c r="B281" s="190">
        <v>45807</v>
      </c>
      <c r="C281" s="187" t="s">
        <v>258</v>
      </c>
      <c r="D281" s="187" t="s">
        <v>482</v>
      </c>
      <c r="E281" s="187">
        <v>11155</v>
      </c>
      <c r="F281" s="188">
        <v>540</v>
      </c>
    </row>
    <row r="282" spans="1:6">
      <c r="A282" s="190">
        <v>45800</v>
      </c>
      <c r="B282" s="190">
        <v>45807</v>
      </c>
      <c r="C282" s="187" t="s">
        <v>106</v>
      </c>
      <c r="D282" s="187" t="s">
        <v>465</v>
      </c>
      <c r="E282" s="187">
        <v>11151</v>
      </c>
      <c r="F282" s="188">
        <v>559.98</v>
      </c>
    </row>
    <row r="283" spans="1:6">
      <c r="A283" s="190">
        <v>45806</v>
      </c>
      <c r="B283" s="190">
        <v>45807</v>
      </c>
      <c r="C283" s="187" t="s">
        <v>107</v>
      </c>
      <c r="D283" s="187" t="s">
        <v>446</v>
      </c>
      <c r="E283" s="187">
        <v>11135</v>
      </c>
      <c r="F283" s="188">
        <v>631</v>
      </c>
    </row>
    <row r="284" spans="1:6">
      <c r="A284" s="190">
        <v>45803</v>
      </c>
      <c r="B284" s="190">
        <v>45807</v>
      </c>
      <c r="C284" s="187" t="s">
        <v>234</v>
      </c>
      <c r="D284" s="187" t="s">
        <v>450</v>
      </c>
      <c r="E284" s="187">
        <v>11138</v>
      </c>
      <c r="F284" s="188">
        <v>778.4</v>
      </c>
    </row>
    <row r="285" spans="1:6">
      <c r="A285" s="190">
        <v>45800</v>
      </c>
      <c r="B285" s="190">
        <v>45807</v>
      </c>
      <c r="C285" s="187" t="s">
        <v>241</v>
      </c>
      <c r="D285" s="187" t="s">
        <v>442</v>
      </c>
      <c r="E285" s="187">
        <v>11131</v>
      </c>
      <c r="F285" s="188">
        <v>915.26</v>
      </c>
    </row>
    <row r="286" spans="1:6">
      <c r="A286" s="190">
        <v>45806</v>
      </c>
      <c r="B286" s="190">
        <v>45807</v>
      </c>
      <c r="C286" s="187" t="s">
        <v>107</v>
      </c>
      <c r="D286" s="187" t="s">
        <v>449</v>
      </c>
      <c r="E286" s="187">
        <v>11137</v>
      </c>
      <c r="F286" s="188">
        <v>986.02</v>
      </c>
    </row>
    <row r="287" spans="1:6">
      <c r="A287" s="190">
        <v>45799</v>
      </c>
      <c r="B287" s="190">
        <v>45807</v>
      </c>
      <c r="C287" s="187" t="s">
        <v>66</v>
      </c>
      <c r="D287" s="187" t="s">
        <v>475</v>
      </c>
      <c r="E287" s="187">
        <v>11154</v>
      </c>
      <c r="F287" s="188">
        <v>1056.4000000000001</v>
      </c>
    </row>
    <row r="288" spans="1:6">
      <c r="A288" s="190">
        <v>45800</v>
      </c>
      <c r="B288" s="190">
        <v>45807</v>
      </c>
      <c r="C288" s="187" t="s">
        <v>226</v>
      </c>
      <c r="D288" s="187" t="s">
        <v>471</v>
      </c>
      <c r="E288" s="187">
        <v>11154</v>
      </c>
      <c r="F288" s="188">
        <v>1056.4000000000001</v>
      </c>
    </row>
    <row r="289" spans="1:6">
      <c r="A289" s="190">
        <v>45800</v>
      </c>
      <c r="B289" s="190">
        <v>45807</v>
      </c>
      <c r="C289" s="187" t="s">
        <v>226</v>
      </c>
      <c r="D289" s="187" t="s">
        <v>472</v>
      </c>
      <c r="E289" s="187">
        <v>11154</v>
      </c>
      <c r="F289" s="188">
        <v>1056.4000000000001</v>
      </c>
    </row>
    <row r="290" spans="1:6">
      <c r="A290" s="190">
        <v>45799</v>
      </c>
      <c r="B290" s="190">
        <v>45807</v>
      </c>
      <c r="C290" s="187" t="s">
        <v>255</v>
      </c>
      <c r="D290" s="187" t="s">
        <v>469</v>
      </c>
      <c r="E290" s="187">
        <v>11154</v>
      </c>
      <c r="F290" s="188">
        <v>1056.4000000000001</v>
      </c>
    </row>
    <row r="291" spans="1:6">
      <c r="A291" s="190">
        <v>45800</v>
      </c>
      <c r="B291" s="190">
        <v>45807</v>
      </c>
      <c r="C291" s="187" t="s">
        <v>249</v>
      </c>
      <c r="D291" s="187" t="s">
        <v>470</v>
      </c>
      <c r="E291" s="187">
        <v>11154</v>
      </c>
      <c r="F291" s="188">
        <v>1056.4000000000001</v>
      </c>
    </row>
    <row r="292" spans="1:6">
      <c r="A292" s="190">
        <v>45803</v>
      </c>
      <c r="B292" s="190">
        <v>45807</v>
      </c>
      <c r="C292" s="187" t="s">
        <v>66</v>
      </c>
      <c r="D292" s="187" t="s">
        <v>485</v>
      </c>
      <c r="E292" s="187">
        <v>11155</v>
      </c>
      <c r="F292" s="188">
        <v>1078</v>
      </c>
    </row>
    <row r="293" spans="1:6">
      <c r="A293" s="190">
        <v>45805</v>
      </c>
      <c r="B293" s="190">
        <v>45807</v>
      </c>
      <c r="C293" s="187" t="s">
        <v>66</v>
      </c>
      <c r="D293" s="187" t="s">
        <v>487</v>
      </c>
      <c r="E293" s="187">
        <v>11155</v>
      </c>
      <c r="F293" s="188">
        <v>1078</v>
      </c>
    </row>
    <row r="294" spans="1:6">
      <c r="A294" s="190">
        <v>45805</v>
      </c>
      <c r="B294" s="190">
        <v>45807</v>
      </c>
      <c r="C294" s="187" t="s">
        <v>259</v>
      </c>
      <c r="D294" s="187" t="s">
        <v>483</v>
      </c>
      <c r="E294" s="187">
        <v>11155</v>
      </c>
      <c r="F294" s="188">
        <v>1078</v>
      </c>
    </row>
    <row r="295" spans="1:6">
      <c r="A295" s="190">
        <v>45806</v>
      </c>
      <c r="B295" s="190">
        <v>45807</v>
      </c>
      <c r="C295" s="187" t="s">
        <v>260</v>
      </c>
      <c r="D295" s="187" t="s">
        <v>484</v>
      </c>
      <c r="E295" s="187">
        <v>11155</v>
      </c>
      <c r="F295" s="188">
        <v>1293.5999999999999</v>
      </c>
    </row>
    <row r="296" spans="1:6">
      <c r="A296" s="190">
        <v>45805</v>
      </c>
      <c r="B296" s="190">
        <v>45807</v>
      </c>
      <c r="C296" s="187" t="s">
        <v>66</v>
      </c>
      <c r="D296" s="187" t="s">
        <v>468</v>
      </c>
      <c r="E296" s="187">
        <v>11153</v>
      </c>
      <c r="F296" s="188">
        <v>1431.84</v>
      </c>
    </row>
    <row r="297" spans="1:6">
      <c r="A297" s="190">
        <v>45800</v>
      </c>
      <c r="B297" s="190">
        <v>45807</v>
      </c>
      <c r="C297" s="187" t="s">
        <v>106</v>
      </c>
      <c r="D297" s="187" t="s">
        <v>466</v>
      </c>
      <c r="E297" s="187">
        <v>11151</v>
      </c>
      <c r="F297" s="188">
        <v>1500</v>
      </c>
    </row>
    <row r="298" spans="1:6">
      <c r="A298" s="190">
        <v>45762</v>
      </c>
      <c r="B298" s="190">
        <v>45807</v>
      </c>
      <c r="C298" s="187" t="s">
        <v>67</v>
      </c>
      <c r="D298" s="187" t="s">
        <v>145</v>
      </c>
      <c r="E298" s="187">
        <v>11133</v>
      </c>
      <c r="F298" s="188">
        <v>1645</v>
      </c>
    </row>
    <row r="299" spans="1:6">
      <c r="A299" s="190">
        <v>45799</v>
      </c>
      <c r="B299" s="190">
        <v>45807</v>
      </c>
      <c r="C299" s="187" t="s">
        <v>235</v>
      </c>
      <c r="D299" s="187" t="s">
        <v>438</v>
      </c>
      <c r="E299" s="187">
        <v>11127</v>
      </c>
      <c r="F299" s="188">
        <v>1730</v>
      </c>
    </row>
    <row r="300" spans="1:6">
      <c r="A300" s="190">
        <v>45806</v>
      </c>
      <c r="B300" s="190">
        <v>45807</v>
      </c>
      <c r="C300" s="187" t="s">
        <v>101</v>
      </c>
      <c r="D300" s="187" t="s">
        <v>444</v>
      </c>
      <c r="E300" s="187">
        <v>11134</v>
      </c>
      <c r="F300" s="188">
        <v>1918.6</v>
      </c>
    </row>
    <row r="301" spans="1:6">
      <c r="A301" s="190">
        <v>45775</v>
      </c>
      <c r="B301" s="190">
        <v>45807</v>
      </c>
      <c r="C301" s="187" t="s">
        <v>69</v>
      </c>
      <c r="D301" s="187" t="s">
        <v>132</v>
      </c>
      <c r="E301" s="187">
        <v>11126</v>
      </c>
      <c r="F301" s="188">
        <v>1979.94</v>
      </c>
    </row>
    <row r="302" spans="1:6">
      <c r="A302" s="190">
        <v>45804</v>
      </c>
      <c r="B302" s="190">
        <v>45807</v>
      </c>
      <c r="C302" s="187" t="s">
        <v>66</v>
      </c>
      <c r="D302" s="187" t="s">
        <v>454</v>
      </c>
      <c r="E302" s="187">
        <v>11142</v>
      </c>
      <c r="F302" s="188">
        <v>2014</v>
      </c>
    </row>
    <row r="303" spans="1:6">
      <c r="A303" s="190">
        <v>45803</v>
      </c>
      <c r="B303" s="190">
        <v>45807</v>
      </c>
      <c r="C303" s="187" t="s">
        <v>221</v>
      </c>
      <c r="D303" s="187" t="s">
        <v>463</v>
      </c>
      <c r="E303" s="187">
        <v>11149</v>
      </c>
      <c r="F303" s="188">
        <v>2035.23</v>
      </c>
    </row>
    <row r="304" spans="1:6">
      <c r="A304" s="190">
        <v>45803</v>
      </c>
      <c r="B304" s="190">
        <v>45807</v>
      </c>
      <c r="C304" s="187" t="s">
        <v>254</v>
      </c>
      <c r="D304" s="187" t="s">
        <v>462</v>
      </c>
      <c r="E304" s="187">
        <v>11148</v>
      </c>
      <c r="F304" s="188">
        <v>2102.1</v>
      </c>
    </row>
    <row r="305" spans="1:6">
      <c r="A305" s="190">
        <v>45805</v>
      </c>
      <c r="B305" s="190">
        <v>45807</v>
      </c>
      <c r="C305" s="187" t="s">
        <v>214</v>
      </c>
      <c r="D305" s="187" t="s">
        <v>452</v>
      </c>
      <c r="E305" s="187">
        <v>11140</v>
      </c>
      <c r="F305" s="188">
        <v>2172.46</v>
      </c>
    </row>
    <row r="306" spans="1:6">
      <c r="A306" s="190">
        <v>45803</v>
      </c>
      <c r="B306" s="190">
        <v>45807</v>
      </c>
      <c r="C306" s="187" t="s">
        <v>106</v>
      </c>
      <c r="D306" s="187" t="s">
        <v>434</v>
      </c>
      <c r="E306" s="187">
        <v>11122</v>
      </c>
      <c r="F306" s="188">
        <v>2253.1999999999998</v>
      </c>
    </row>
    <row r="307" spans="1:6">
      <c r="A307" s="190">
        <v>45803</v>
      </c>
      <c r="B307" s="190">
        <v>45807</v>
      </c>
      <c r="C307" s="187" t="s">
        <v>103</v>
      </c>
      <c r="D307" s="187" t="s">
        <v>433</v>
      </c>
      <c r="E307" s="187">
        <v>11121</v>
      </c>
      <c r="F307" s="188">
        <v>2253.1999999999998</v>
      </c>
    </row>
    <row r="308" spans="1:6">
      <c r="A308" s="190">
        <v>45798</v>
      </c>
      <c r="B308" s="190">
        <v>45807</v>
      </c>
      <c r="C308" s="187" t="s">
        <v>251</v>
      </c>
      <c r="D308" s="187" t="s">
        <v>441</v>
      </c>
      <c r="E308" s="187">
        <v>11130</v>
      </c>
      <c r="F308" s="188">
        <v>2253.1999999999998</v>
      </c>
    </row>
    <row r="309" spans="1:6">
      <c r="A309" s="190">
        <v>45804</v>
      </c>
      <c r="B309" s="190">
        <v>45807</v>
      </c>
      <c r="C309" s="187" t="s">
        <v>66</v>
      </c>
      <c r="D309" s="187" t="s">
        <v>453</v>
      </c>
      <c r="E309" s="187">
        <v>11141</v>
      </c>
      <c r="F309" s="188">
        <v>2271.2600000000002</v>
      </c>
    </row>
    <row r="310" spans="1:6">
      <c r="A310" s="190">
        <v>45803</v>
      </c>
      <c r="B310" s="190">
        <v>45807</v>
      </c>
      <c r="C310" s="187" t="s">
        <v>220</v>
      </c>
      <c r="D310" s="187" t="s">
        <v>426</v>
      </c>
      <c r="E310" s="187">
        <v>11113</v>
      </c>
      <c r="F310" s="188">
        <v>2271.2600000000002</v>
      </c>
    </row>
    <row r="311" spans="1:6">
      <c r="A311" s="190">
        <v>45803</v>
      </c>
      <c r="B311" s="190">
        <v>45807</v>
      </c>
      <c r="C311" s="187" t="s">
        <v>113</v>
      </c>
      <c r="D311" s="187" t="s">
        <v>424</v>
      </c>
      <c r="E311" s="187">
        <v>11111</v>
      </c>
      <c r="F311" s="188">
        <v>2271.2600000000002</v>
      </c>
    </row>
    <row r="312" spans="1:6">
      <c r="A312" s="190">
        <v>45799</v>
      </c>
      <c r="B312" s="190">
        <v>45807</v>
      </c>
      <c r="C312" s="187" t="s">
        <v>69</v>
      </c>
      <c r="D312" s="187" t="s">
        <v>429</v>
      </c>
      <c r="E312" s="187">
        <v>11116</v>
      </c>
      <c r="F312" s="188">
        <v>2271.2600000000002</v>
      </c>
    </row>
    <row r="313" spans="1:6">
      <c r="A313" s="190">
        <v>45801</v>
      </c>
      <c r="B313" s="190">
        <v>45807</v>
      </c>
      <c r="C313" s="187" t="s">
        <v>247</v>
      </c>
      <c r="D313" s="187" t="s">
        <v>431</v>
      </c>
      <c r="E313" s="187">
        <v>11118</v>
      </c>
      <c r="F313" s="188">
        <v>2271.2600000000002</v>
      </c>
    </row>
    <row r="314" spans="1:6">
      <c r="A314" s="190">
        <v>45803</v>
      </c>
      <c r="B314" s="190">
        <v>45807</v>
      </c>
      <c r="C314" s="187" t="s">
        <v>105</v>
      </c>
      <c r="D314" s="187" t="s">
        <v>428</v>
      </c>
      <c r="E314" s="187">
        <v>11115</v>
      </c>
      <c r="F314" s="188">
        <v>2271.2600000000002</v>
      </c>
    </row>
    <row r="315" spans="1:6">
      <c r="A315" s="190">
        <v>45803</v>
      </c>
      <c r="B315" s="190">
        <v>45807</v>
      </c>
      <c r="C315" s="187" t="s">
        <v>246</v>
      </c>
      <c r="D315" s="187" t="s">
        <v>427</v>
      </c>
      <c r="E315" s="187">
        <v>11114</v>
      </c>
      <c r="F315" s="188">
        <v>2271.2600000000002</v>
      </c>
    </row>
    <row r="316" spans="1:6">
      <c r="A316" s="190">
        <v>45803</v>
      </c>
      <c r="B316" s="190">
        <v>45807</v>
      </c>
      <c r="C316" s="187" t="s">
        <v>123</v>
      </c>
      <c r="D316" s="187" t="s">
        <v>425</v>
      </c>
      <c r="E316" s="187">
        <v>11112</v>
      </c>
      <c r="F316" s="188">
        <v>2271.2600000000002</v>
      </c>
    </row>
    <row r="317" spans="1:6">
      <c r="A317" s="190">
        <v>45800</v>
      </c>
      <c r="B317" s="190">
        <v>45807</v>
      </c>
      <c r="C317" s="187" t="s">
        <v>108</v>
      </c>
      <c r="D317" s="187" t="s">
        <v>430</v>
      </c>
      <c r="E317" s="187">
        <v>11117</v>
      </c>
      <c r="F317" s="188">
        <v>2271.2600000000002</v>
      </c>
    </row>
    <row r="318" spans="1:6">
      <c r="A318" s="190">
        <v>45803</v>
      </c>
      <c r="B318" s="190">
        <v>45807</v>
      </c>
      <c r="C318" s="187" t="s">
        <v>84</v>
      </c>
      <c r="D318" s="187" t="s">
        <v>432</v>
      </c>
      <c r="E318" s="187">
        <v>11120</v>
      </c>
      <c r="F318" s="188">
        <v>2272</v>
      </c>
    </row>
    <row r="319" spans="1:6">
      <c r="A319" s="190">
        <v>45800</v>
      </c>
      <c r="B319" s="190">
        <v>45807</v>
      </c>
      <c r="C319" s="187" t="s">
        <v>87</v>
      </c>
      <c r="D319" s="187" t="s">
        <v>437</v>
      </c>
      <c r="E319" s="187">
        <v>11125</v>
      </c>
      <c r="F319" s="188">
        <v>2304.16</v>
      </c>
    </row>
    <row r="320" spans="1:6">
      <c r="A320" s="190">
        <v>45801</v>
      </c>
      <c r="B320" s="190">
        <v>45807</v>
      </c>
      <c r="C320" s="187" t="s">
        <v>213</v>
      </c>
      <c r="D320" s="187" t="s">
        <v>440</v>
      </c>
      <c r="E320" s="187">
        <v>11129</v>
      </c>
      <c r="F320" s="188">
        <v>2304.37</v>
      </c>
    </row>
    <row r="321" spans="1:7">
      <c r="A321" s="190">
        <v>45799</v>
      </c>
      <c r="B321" s="190">
        <v>45807</v>
      </c>
      <c r="C321" s="187" t="s">
        <v>249</v>
      </c>
      <c r="D321" s="187" t="s">
        <v>436</v>
      </c>
      <c r="E321" s="187">
        <v>11124</v>
      </c>
      <c r="F321" s="188">
        <v>2329.66</v>
      </c>
    </row>
    <row r="322" spans="1:7">
      <c r="A322" s="190">
        <v>45799</v>
      </c>
      <c r="B322" s="190">
        <v>45807</v>
      </c>
      <c r="C322" s="187" t="s">
        <v>69</v>
      </c>
      <c r="D322" s="187" t="s">
        <v>464</v>
      </c>
      <c r="E322" s="187">
        <v>11150</v>
      </c>
      <c r="F322" s="188">
        <v>2397.08</v>
      </c>
    </row>
    <row r="323" spans="1:7">
      <c r="A323" s="190">
        <v>45805</v>
      </c>
      <c r="B323" s="190">
        <v>45807</v>
      </c>
      <c r="C323" s="187" t="s">
        <v>252</v>
      </c>
      <c r="D323" s="187" t="s">
        <v>448</v>
      </c>
      <c r="E323" s="187">
        <v>11137</v>
      </c>
      <c r="F323" s="188">
        <v>2450</v>
      </c>
    </row>
    <row r="324" spans="1:7">
      <c r="A324" s="190">
        <v>45803</v>
      </c>
      <c r="B324" s="190">
        <v>45807</v>
      </c>
      <c r="C324" s="187" t="s">
        <v>253</v>
      </c>
      <c r="D324" s="187" t="s">
        <v>457</v>
      </c>
      <c r="E324" s="187">
        <v>11147</v>
      </c>
      <c r="F324" s="188">
        <v>2563.4299999999998</v>
      </c>
    </row>
    <row r="325" spans="1:7">
      <c r="A325" s="190">
        <v>45804</v>
      </c>
      <c r="B325" s="190">
        <v>45807</v>
      </c>
      <c r="C325" s="187" t="s">
        <v>226</v>
      </c>
      <c r="D325" s="187" t="s">
        <v>467</v>
      </c>
      <c r="E325" s="187">
        <v>11152</v>
      </c>
      <c r="F325" s="188">
        <v>2642</v>
      </c>
    </row>
    <row r="326" spans="1:7">
      <c r="A326" s="190">
        <v>45785</v>
      </c>
      <c r="B326" s="190">
        <v>45807</v>
      </c>
      <c r="C326" s="187" t="s">
        <v>70</v>
      </c>
      <c r="D326" s="187" t="s">
        <v>445</v>
      </c>
      <c r="E326" s="187">
        <v>11135</v>
      </c>
      <c r="F326" s="188">
        <v>2765.05</v>
      </c>
    </row>
    <row r="327" spans="1:7">
      <c r="A327" s="190">
        <v>45805</v>
      </c>
      <c r="B327" s="190">
        <v>45807</v>
      </c>
      <c r="C327" s="187" t="s">
        <v>65</v>
      </c>
      <c r="D327" s="187" t="s">
        <v>456</v>
      </c>
      <c r="E327" s="187">
        <v>11144</v>
      </c>
      <c r="F327" s="188">
        <v>2777.2</v>
      </c>
    </row>
    <row r="328" spans="1:7">
      <c r="A328" s="190">
        <v>45805</v>
      </c>
      <c r="B328" s="190">
        <v>45807</v>
      </c>
      <c r="C328" s="187" t="s">
        <v>72</v>
      </c>
      <c r="D328" s="187" t="s">
        <v>455</v>
      </c>
      <c r="E328" s="187">
        <v>11143</v>
      </c>
      <c r="F328" s="188">
        <v>2777.2</v>
      </c>
    </row>
    <row r="329" spans="1:7">
      <c r="A329" s="190">
        <v>45803</v>
      </c>
      <c r="B329" s="190">
        <v>45807</v>
      </c>
      <c r="C329" s="187" t="s">
        <v>101</v>
      </c>
      <c r="D329" s="187" t="s">
        <v>447</v>
      </c>
      <c r="E329" s="187">
        <v>11136</v>
      </c>
      <c r="F329" s="188">
        <v>2799.46</v>
      </c>
    </row>
    <row r="330" spans="1:7">
      <c r="A330" s="190">
        <v>45800</v>
      </c>
      <c r="B330" s="190">
        <v>45807</v>
      </c>
      <c r="C330" s="187" t="s">
        <v>250</v>
      </c>
      <c r="D330" s="187" t="s">
        <v>439</v>
      </c>
      <c r="E330" s="187">
        <v>11128</v>
      </c>
      <c r="F330" s="188">
        <v>2799.46</v>
      </c>
    </row>
    <row r="331" spans="1:7">
      <c r="A331" s="190">
        <v>45803</v>
      </c>
      <c r="B331" s="190">
        <v>45807</v>
      </c>
      <c r="C331" s="187" t="s">
        <v>117</v>
      </c>
      <c r="D331" s="187" t="s">
        <v>423</v>
      </c>
      <c r="E331" s="187">
        <v>11110</v>
      </c>
      <c r="F331" s="188">
        <v>3000</v>
      </c>
    </row>
    <row r="332" spans="1:7">
      <c r="A332" s="190">
        <v>45804</v>
      </c>
      <c r="B332" s="190">
        <v>45807</v>
      </c>
      <c r="C332" s="187" t="s">
        <v>116</v>
      </c>
      <c r="D332" s="187" t="s">
        <v>443</v>
      </c>
      <c r="E332" s="187">
        <v>11132</v>
      </c>
      <c r="F332" s="188">
        <v>3658.88</v>
      </c>
    </row>
    <row r="333" spans="1:7">
      <c r="A333" s="190">
        <v>45799</v>
      </c>
      <c r="B333" s="190">
        <v>45807</v>
      </c>
      <c r="C333" s="187" t="s">
        <v>248</v>
      </c>
      <c r="D333" s="187" t="s">
        <v>435</v>
      </c>
      <c r="E333" s="187">
        <v>11123</v>
      </c>
      <c r="F333" s="188">
        <v>4587.18</v>
      </c>
    </row>
    <row r="334" spans="1:7">
      <c r="A334" s="190">
        <v>45805</v>
      </c>
      <c r="B334" s="190">
        <v>45807</v>
      </c>
      <c r="C334" s="187" t="s">
        <v>97</v>
      </c>
      <c r="D334" s="187" t="s">
        <v>451</v>
      </c>
      <c r="E334" s="187">
        <v>11139</v>
      </c>
      <c r="F334" s="188">
        <v>20527.48</v>
      </c>
    </row>
    <row r="335" spans="1:7">
      <c r="A335" s="3" t="s">
        <v>271</v>
      </c>
      <c r="B335" s="3">
        <f>+VALUE(A335)</f>
        <v>45808</v>
      </c>
      <c r="C335" t="s">
        <v>73</v>
      </c>
      <c r="D335" s="4" t="s">
        <v>498</v>
      </c>
      <c r="G335" s="189">
        <v>-135.05000000000001</v>
      </c>
    </row>
    <row r="336" spans="1:7">
      <c r="A336" s="3" t="s">
        <v>271</v>
      </c>
      <c r="B336" s="3">
        <f>+VALUE(A336)</f>
        <v>45808</v>
      </c>
      <c r="C336" t="s">
        <v>73</v>
      </c>
      <c r="D336" s="4" t="s">
        <v>510</v>
      </c>
      <c r="G336" s="189">
        <v>-36.67</v>
      </c>
    </row>
    <row r="337" spans="4:4">
      <c r="D337" t="s">
        <v>488</v>
      </c>
    </row>
    <row r="338" spans="4:4">
      <c r="D338" t="s">
        <v>488</v>
      </c>
    </row>
  </sheetData>
  <autoFilter ref="A1:G338" xr:uid="{6E5D2F78-419D-470C-9F16-8CCEA166422D}">
    <sortState xmlns:xlrd2="http://schemas.microsoft.com/office/spreadsheetml/2017/richdata2" ref="A2:G338">
      <sortCondition ref="B1:B3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CONCI. VENEZUELA (1892) 2025</vt:lpstr>
      <vt:lpstr> LIBRO VZLA 1892</vt:lpstr>
      <vt:lpstr>CONCI. BDT (9290) 2025</vt:lpstr>
      <vt:lpstr>LIBRO BDT 9290</vt:lpstr>
      <vt:lpstr>LIBRO 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2025-11-07T15:46:51Z</cp:lastPrinted>
  <dcterms:created xsi:type="dcterms:W3CDTF">2025-09-30T15:30:31Z</dcterms:created>
  <dcterms:modified xsi:type="dcterms:W3CDTF">2025-11-18T14:54:59Z</dcterms:modified>
</cp:coreProperties>
</file>
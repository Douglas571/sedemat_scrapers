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C:\Users\SEDEMAT\Desktop\LIQUIDACIONES 2025\"/>
    </mc:Choice>
  </mc:AlternateContent>
  <bookViews>
    <workbookView xWindow="0" yWindow="0" windowWidth="17925" windowHeight="9885" firstSheet="7" activeTab="17"/>
  </bookViews>
  <sheets>
    <sheet name="PARTIDAS" sheetId="1" r:id="rId1"/>
    <sheet name="11752" sheetId="5" r:id="rId2"/>
    <sheet name="11753" sheetId="2" r:id="rId3"/>
    <sheet name="11754" sheetId="4" r:id="rId4"/>
    <sheet name="11755" sheetId="6" r:id="rId5"/>
    <sheet name="11756" sheetId="7" r:id="rId6"/>
    <sheet name="11757" sheetId="8" r:id="rId7"/>
    <sheet name="11758" sheetId="9" r:id="rId8"/>
    <sheet name="11759" sheetId="10" r:id="rId9"/>
    <sheet name="11760" sheetId="11" r:id="rId10"/>
    <sheet name="11761" sheetId="12" r:id="rId11"/>
    <sheet name="11762" sheetId="13" r:id="rId12"/>
    <sheet name="11763" sheetId="14" r:id="rId13"/>
    <sheet name="11764" sheetId="15" r:id="rId14"/>
    <sheet name="11765" sheetId="16" r:id="rId15"/>
    <sheet name="11766" sheetId="17" r:id="rId16"/>
    <sheet name="11767" sheetId="18" r:id="rId17"/>
    <sheet name="11768" sheetId="19" r:id="rId18"/>
  </sheets>
  <functionGroups builtInGroupCount="18"/>
  <calcPr calcId="152511"/>
</workbook>
</file>

<file path=xl/calcChain.xml><?xml version="1.0" encoding="utf-8"?>
<calcChain xmlns="http://schemas.openxmlformats.org/spreadsheetml/2006/main">
  <c r="H30" i="19" l="1"/>
  <c r="C17" i="19"/>
  <c r="L6" i="19"/>
  <c r="H30" i="18"/>
  <c r="C17" i="18"/>
  <c r="L6" i="18"/>
  <c r="H29" i="17"/>
  <c r="H30" i="16"/>
  <c r="H29" i="15"/>
  <c r="H29" i="14"/>
  <c r="H29" i="13"/>
  <c r="H29" i="12"/>
  <c r="H29" i="11"/>
  <c r="H29" i="10"/>
  <c r="H29" i="9"/>
  <c r="H30" i="8"/>
  <c r="H30" i="7"/>
  <c r="C17" i="7"/>
  <c r="L6" i="7"/>
  <c r="H30" i="6"/>
  <c r="H30" i="4"/>
  <c r="C17" i="4"/>
  <c r="L6" i="4"/>
  <c r="H30" i="2"/>
  <c r="H30" i="5"/>
  <c r="K11" i="5"/>
  <c r="L11" i="12"/>
  <c r="L11" i="8"/>
  <c r="L11" i="2"/>
  <c r="L6" i="9"/>
  <c r="C17" i="8"/>
  <c r="L6" i="12"/>
  <c r="L6" i="2"/>
  <c r="L11" i="18"/>
  <c r="C17" i="13"/>
  <c r="L11" i="5"/>
  <c r="L11" i="9"/>
  <c r="C17" i="11"/>
  <c r="L6" i="6"/>
  <c r="C17" i="2"/>
  <c r="L11" i="11"/>
  <c r="L11" i="7"/>
  <c r="C17" i="16"/>
  <c r="L6" i="16"/>
  <c r="C17" i="17"/>
  <c r="L6" i="10"/>
  <c r="L6" i="17"/>
  <c r="L11" i="17"/>
  <c r="C17" i="9"/>
  <c r="L6" i="5"/>
  <c r="L11" i="4"/>
  <c r="L6" i="14"/>
  <c r="L6" i="15"/>
  <c r="L11" i="14"/>
  <c r="L11" i="10"/>
  <c r="L11" i="6"/>
  <c r="L6" i="13"/>
  <c r="C17" i="12"/>
  <c r="L11" i="15"/>
  <c r="L6" i="8"/>
  <c r="C17" i="10"/>
  <c r="L11" i="16"/>
  <c r="C17" i="6"/>
  <c r="L11" i="13"/>
  <c r="L6" i="11"/>
  <c r="L11" i="19"/>
</calcChain>
</file>

<file path=xl/sharedStrings.xml><?xml version="1.0" encoding="utf-8"?>
<sst xmlns="http://schemas.openxmlformats.org/spreadsheetml/2006/main" count="586" uniqueCount="165">
  <si>
    <t>CODIGO</t>
  </si>
  <si>
    <t>NOMBRE</t>
  </si>
  <si>
    <t>Columna1</t>
  </si>
  <si>
    <t>NUMERO</t>
  </si>
  <si>
    <t>BANCO</t>
  </si>
  <si>
    <t>COLOR</t>
  </si>
  <si>
    <t xml:space="preserve">0102-0339250001071892 </t>
  </si>
  <si>
    <t>BANCO DE VENEZUELA</t>
  </si>
  <si>
    <t>ROJO</t>
  </si>
  <si>
    <t>301020310 - IMPUESTO SOBRE EXPEDICIÓN AL PÚBLICO  DE ESPECIES ALCOHÓLICAS NACIONALES</t>
  </si>
  <si>
    <t>0102-0769090000013055</t>
  </si>
  <si>
    <t>VERDE</t>
  </si>
  <si>
    <t>301020404 - IMPUESTO A LA OPERACIÓN DE JUEGOS DE LOTERIA</t>
  </si>
  <si>
    <t>0175-0162310074949290</t>
  </si>
  <si>
    <t>BANCO BICENTENARIO</t>
  </si>
  <si>
    <t>AMARILLO</t>
  </si>
  <si>
    <t>301020500 - INMUEBLE URBANOS</t>
  </si>
  <si>
    <t>0175-01623100721655565</t>
  </si>
  <si>
    <t>NARANJA</t>
  </si>
  <si>
    <t>301020700 - PATENTE DE INDUSTRIA Y COMERCIO</t>
  </si>
  <si>
    <t>EXONERADO</t>
  </si>
  <si>
    <t>301020800 - PATENTE  DE VEHICULO</t>
  </si>
  <si>
    <t>301020900- PROPAGANDA COMERCIAL</t>
  </si>
  <si>
    <t>301021000 - ESPECTACULOS PUBLICOS</t>
  </si>
  <si>
    <t>301021100 - APUESTAS LICITAS</t>
  </si>
  <si>
    <t>301021200 - DEUDAS MOROSAS</t>
  </si>
  <si>
    <t>301029900 - OTROS IMPUESTOS INDIRECTOS</t>
  </si>
  <si>
    <t>301110100 - INTERESES MORATORIOS</t>
  </si>
  <si>
    <t>301110300 - SANCIONES FISCALES</t>
  </si>
  <si>
    <t>301110800 - MULTAS Y RECARGOS</t>
  </si>
  <si>
    <t>301111200 - REPAROS ADMINISTRATIVOS POR IMPUESTOS MUNICIPÀLES</t>
  </si>
  <si>
    <t>306010100 - VENTA Y/O DESINCORPORACION DE TIERRAS Y TERRENOS</t>
  </si>
  <si>
    <t>301034800 - PERMISOS MUNICIPALES</t>
  </si>
  <si>
    <t>301034900 - CERTIFICACIONES Y SOLVENCIAS</t>
  </si>
  <si>
    <t>301035300 - MENSURA Y DESLINDE</t>
  </si>
  <si>
    <t>301035400 - ASEO DOMICILIARIO</t>
  </si>
  <si>
    <t>301035600 - MERCADO</t>
  </si>
  <si>
    <t>301035700 - CEMENTERIO</t>
  </si>
  <si>
    <t>301039900 - OTROS TIPOS DE TASAS</t>
  </si>
  <si>
    <t>301039901 - TASA POR SERVICIOS SERVICIOS MUNICIPALES</t>
  </si>
  <si>
    <t>301090101 - INGRESO POR FORMULARIOS Y  GACETAS MUNICIPALES</t>
  </si>
  <si>
    <t>301100801 - ALQUILER DE EDIFICIOS Y LOCALES</t>
  </si>
  <si>
    <t>301100802 - ALQUILER DE TIERRAS Y TERRENOS</t>
  </si>
  <si>
    <t>301990100 - OTROS INGRESOS ORDINARIOS</t>
  </si>
  <si>
    <t>302030100 - LIQUIDACIÓN DE ENTES DESCENTRALIZADOS</t>
  </si>
  <si>
    <t>305030102 - SITUADO MUNICIPAL</t>
  </si>
  <si>
    <t>306080200 - FONDO DE COMPENSACION INTERTERRITORIAL</t>
  </si>
  <si>
    <t xml:space="preserve">306010302 - VENTA Y/O DESINCORPORACIÓN DE EQUIPOS DE TRANSPORTE, TRACCIÓN Y ELEVACIÓN
</t>
  </si>
  <si>
    <t>301039901 - TASAS ADMINISTRATIVAS</t>
  </si>
  <si>
    <t>RAZON SOCIAL:</t>
  </si>
  <si>
    <t>RIF:</t>
  </si>
  <si>
    <t>REPRESENTANTE LEGAL</t>
  </si>
  <si>
    <t>C.I. NRO</t>
  </si>
  <si>
    <t>DESCRIPCION DEL PAGO</t>
  </si>
  <si>
    <t xml:space="preserve">TRANSFERENCIA </t>
  </si>
  <si>
    <t>MONTO:</t>
  </si>
  <si>
    <t>CÓDIGO</t>
  </si>
  <si>
    <t>DESCRIPCIÓN</t>
  </si>
  <si>
    <t>MONTO</t>
  </si>
  <si>
    <t>TOTAL COMPROBANTE DE INGRESO:</t>
  </si>
  <si>
    <t>DATOS DEL PAGO</t>
  </si>
  <si>
    <t>FIRMA Y SELLO</t>
  </si>
  <si>
    <t>BANCO:</t>
  </si>
  <si>
    <t xml:space="preserve">CUENTA </t>
  </si>
  <si>
    <t>BENEFICIARIO:</t>
  </si>
  <si>
    <t>SEDEMAT</t>
  </si>
  <si>
    <t>FECHA:</t>
  </si>
  <si>
    <t>REFERENCIA</t>
  </si>
  <si>
    <t>VERIFICADO POR:</t>
  </si>
  <si>
    <t>MARIANA CHIRINOS</t>
  </si>
  <si>
    <t>PUERTO CUMAREBO; 01 DE SEPTIEMBRE 2025</t>
  </si>
  <si>
    <t>COMPROBANTE DE INGRESO N°11753</t>
  </si>
  <si>
    <t>ALCALDIA DE ZAMORA</t>
  </si>
  <si>
    <t>0175-0162300070318403</t>
  </si>
  <si>
    <t>822208</t>
  </si>
  <si>
    <t>G-20000636-6</t>
  </si>
  <si>
    <t/>
  </si>
  <si>
    <t>COMPROBANTE DE INGRESO N°11754</t>
  </si>
  <si>
    <t>S/N</t>
  </si>
  <si>
    <t>IGNACIO RAFAEL BLANCO</t>
  </si>
  <si>
    <t/>
  </si>
  <si>
    <t>LCDA. MARIANA CHIRINOS</t>
  </si>
  <si>
    <t>COMPROBANTE DE INGRESO N°11752</t>
  </si>
  <si>
    <t>G-20012768-6</t>
  </si>
  <si>
    <t>COMISIONES GENERADAS POR LAS CUENTAS DE INGRESOS DEL BANCO DE VENEZUELA 0102-0339250001071892 Y BANCO BICENTENARIO 0175-0162310074949290 CORRESPONDIENTE AL MES DE AGOSTO DEL AÑO 2025.</t>
  </si>
  <si>
    <t>BANCO DE VENEZUELA Y BDT</t>
  </si>
  <si>
    <t>0102-0339250001071892 Y 0175-0162310074949290</t>
  </si>
  <si>
    <t>-</t>
  </si>
  <si>
    <t>4.03.08.02.00 - COMISIONES BANCARIAS 1892</t>
  </si>
  <si>
    <t>4.03.08.02.00 - COMISIONES BANCARIAS 9290</t>
  </si>
  <si>
    <t>COMPROBANTE DE INGRESO N°11755</t>
  </si>
  <si>
    <t>PUERTO CUMAREBO; 02 DE SEPTIEMBRE 2025</t>
  </si>
  <si>
    <t>JAIME RAFAEL PEREZ BRACHO</t>
  </si>
  <si>
    <t>V-16.103.596</t>
  </si>
  <si>
    <t/>
  </si>
  <si>
    <t>824017</t>
  </si>
  <si>
    <t>SEIS MIL SEISCIENTOS VEINTIOCHO BOLIVARES CON VEINTIUN CENTIMOS</t>
  </si>
  <si>
    <t>COMPROBANTE DE INGRESO N°11756</t>
  </si>
  <si>
    <t>PUERTO CUMAREBO; 03 DE SEPTIEMBRE 2025</t>
  </si>
  <si>
    <t>ANGEL RAFAEL CHIRINOS HIDALGO</t>
  </si>
  <si>
    <t>V-5.298.986</t>
  </si>
  <si>
    <t/>
  </si>
  <si>
    <t>COMPROBANTE DE INGRESO N°11757</t>
  </si>
  <si>
    <t>YJ SOLUCIONES LOGISTICAS, C.A</t>
  </si>
  <si>
    <t>J-50710383-8</t>
  </si>
  <si>
    <t/>
  </si>
  <si>
    <t>237059</t>
  </si>
  <si>
    <t>COMPROBANTE DE INGRESO N°11758</t>
  </si>
  <si>
    <t>GERMAN GUILLERMO VARGAS</t>
  </si>
  <si>
    <t>V-12.181.581</t>
  </si>
  <si>
    <t/>
  </si>
  <si>
    <t>786148</t>
  </si>
  <si>
    <t>COMPROBANTE DE INGRESO N°11759</t>
  </si>
  <si>
    <t>JORGE ALEXANDER TAMARO MEDINA Y BERLLET LOURDES SIERRA CORONADO</t>
  </si>
  <si>
    <t>V-11.496.619 Y 12.228.885</t>
  </si>
  <si>
    <t/>
  </si>
  <si>
    <t>312050</t>
  </si>
  <si>
    <t>COMPROBANTE DE INGRESO N°11760</t>
  </si>
  <si>
    <t>YEXICA DEL VALLE HERNANDEZ DUNO</t>
  </si>
  <si>
    <t>V-15.558.864</t>
  </si>
  <si>
    <t/>
  </si>
  <si>
    <t>011537</t>
  </si>
  <si>
    <t>COMPROBANTE DE INGRESO N°11761</t>
  </si>
  <si>
    <t>FRANCISCO JOSE ROMERO</t>
  </si>
  <si>
    <t>V-4.444.551</t>
  </si>
  <si>
    <t/>
  </si>
  <si>
    <t>194697</t>
  </si>
  <si>
    <t>COMPROBANTE DE INGRESO N°11762</t>
  </si>
  <si>
    <t>PUERTO CUMAREBO; 05 DE SEPTIEMBRE 2025</t>
  </si>
  <si>
    <t xml:space="preserve">ALCALDIA DE ZAMORA </t>
  </si>
  <si>
    <t>G-200006366</t>
  </si>
  <si>
    <t/>
  </si>
  <si>
    <t>825044</t>
  </si>
  <si>
    <t>COMPROBANTE DE INGRESO N°11763</t>
  </si>
  <si>
    <t>CARLOS ALBERTO SERRANO PIÑA Y DAYANA NOHEMY GONZALEZ LUGO</t>
  </si>
  <si>
    <t>V-9.527.348 Y 12.182.165</t>
  </si>
  <si>
    <t>534435</t>
  </si>
  <si>
    <t/>
  </si>
  <si>
    <t>VEINTICINCO MIL BOLÍVARES CON CERO CENTIMOS</t>
  </si>
  <si>
    <t>COMPROBANTE DE INGRESO N°11764</t>
  </si>
  <si>
    <t>GABRIEL EDMUNDO MEDINA ROSAS</t>
  </si>
  <si>
    <t>V-4.227.063</t>
  </si>
  <si>
    <t>DIEZ MIL BOLÍVARES CON CERO CENTIMOS</t>
  </si>
  <si>
    <t>027136</t>
  </si>
  <si>
    <t/>
  </si>
  <si>
    <t>COMPROBANTE DE INGRESO N°11765</t>
  </si>
  <si>
    <t>752960-650128</t>
  </si>
  <si>
    <t>COMPROBANTE DE INGRESO N°11766</t>
  </si>
  <si>
    <t xml:space="preserve">SUCESION SANCHEZ GUSTAVO RAFAEL </t>
  </si>
  <si>
    <t>J-50488072-8</t>
  </si>
  <si>
    <t/>
  </si>
  <si>
    <t>583467</t>
  </si>
  <si>
    <t>"ESTACIONAMIENTO Y GRUAS EL TAVO" DE ANDRY JOSE SANCHEZ ESTREDO, F.P</t>
  </si>
  <si>
    <t>V-15459198-9</t>
  </si>
  <si>
    <t>COMPROBANTE DE INGRESO N°11767</t>
  </si>
  <si>
    <t>PUERTO CUMAREBO; 08 DE SEPTIEMBRE 2025</t>
  </si>
  <si>
    <t>FREDDY COROMOTO VELASQUEZ CAYAMA</t>
  </si>
  <si>
    <t>V-3.683.486</t>
  </si>
  <si>
    <t/>
  </si>
  <si>
    <t>º</t>
  </si>
  <si>
    <t>,</t>
  </si>
  <si>
    <t>COMPROBANTE DE INGRESO N°11768</t>
  </si>
  <si>
    <t>EVA MARCELINA RODRIGUEZ DE OLAVEZ</t>
  </si>
  <si>
    <t>V-745.321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</si>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</sst>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_ &quot;Bs. F.&quot;\ * #,##0.00_ ;_ &quot;Bs. F.&quot;\ * \-#,##0.00_ ;_ &quot;Bs. F.&quot;\ * &quot;-&quot;??_ ;_ @_ "/>
  </numFmts>
  <fonts count="28">
    <font>
      <sz val="11"/>
      <color theme="1"/>
      <name val="Calibri"/>
      <charset val="134"/>
      <scheme val="minor"/>
    </font>
    <font>
      <sz val="10"/>
      <color theme="1"/>
      <name val="Arial"/>
      <charset val="134"/>
    </font>
    <font>
      <b/>
      <sz val="10"/>
      <color theme="1"/>
      <name val="Arial"/>
      <charset val="134"/>
    </font>
    <font>
      <b/>
      <sz val="11"/>
      <color theme="1"/>
      <name val="Arial"/>
      <charset val="134"/>
    </font>
    <font>
      <sz val="9"/>
      <color theme="1"/>
      <name val="Arial"/>
      <charset val="134"/>
    </font>
    <font>
      <b/>
      <sz val="12"/>
      <name val="Cambria"/>
      <charset val="134"/>
    </font>
    <font>
      <b/>
      <sz val="9"/>
      <name val="Arial"/>
      <charset val="134"/>
    </font>
    <font>
      <b/>
      <sz val="10"/>
      <name val="Arial"/>
      <charset val="134"/>
    </font>
    <font>
      <sz val="9"/>
      <name val="Arial"/>
      <charset val="134"/>
    </font>
    <font>
      <b/>
      <sz val="8"/>
      <name val="Arial"/>
      <charset val="134"/>
    </font>
    <font>
      <b/>
      <sz val="9"/>
      <color theme="1"/>
      <name val="Arial"/>
      <charset val="134"/>
    </font>
    <font>
      <b/>
      <sz val="11"/>
      <color theme="0"/>
      <name val="Calibri"/>
      <charset val="134"/>
      <scheme val="minor"/>
    </font>
    <font>
      <sz val="11"/>
      <color theme="1"/>
      <name val="Calibri"/>
      <charset val="134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10"/>
      <color theme="1"/>
      <name val="Arial"/>
      <family val="2"/>
    </font>
    <font>
      <b/>
      <sz val="9"/>
      <color rgb="FF0D0D0D"/>
      <name val="Times New Roman"/>
      <family val="1"/>
    </font>
    <font>
      <b/>
      <sz val="11"/>
      <color theme="1"/>
      <name val="Arial"/>
      <family val="2"/>
    </font>
    <font>
      <b/>
      <sz val="12"/>
      <name val="Cambria"/>
      <family val="1"/>
    </font>
    <font>
      <b/>
      <sz val="11"/>
      <color rgb="FF0D0D0D"/>
      <name val="Calibri"/>
      <family val="2"/>
      <scheme val="minor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2"/>
      <color indexed="8"/>
      <name val="Calibri Light"/>
      <family val="1"/>
      <scheme val="major"/>
    </font>
    <font>
      <b/>
      <sz val="12"/>
      <color theme="1"/>
      <name val="Calibri Light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5117038483843"/>
        <bgColor theme="4" tint="0.79995117038483843"/>
      </patternFill>
    </fill>
  </fills>
  <borders count="5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21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1" fillId="0" borderId="0" xfId="0" applyNumberFormat="1" applyFont="1" applyAlignment="1">
      <alignment vertical="center"/>
    </xf>
    <xf numFmtId="0" fontId="1" fillId="0" borderId="0" xfId="0" applyFont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1" fillId="0" borderId="5" xfId="0" applyFont="1" applyBorder="1" applyAlignment="1">
      <alignment horizontal="left" vertical="center"/>
    </xf>
    <xf numFmtId="0" fontId="1" fillId="0" borderId="21" xfId="0" applyFont="1" applyBorder="1" applyAlignment="1">
      <alignment vertical="center"/>
    </xf>
    <xf numFmtId="43" fontId="6" fillId="0" borderId="22" xfId="2" applyFont="1" applyBorder="1" applyAlignment="1">
      <alignment horizontal="center"/>
    </xf>
    <xf numFmtId="0" fontId="1" fillId="0" borderId="0" xfId="0" applyNumberFormat="1" applyFont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43" fontId="2" fillId="0" borderId="0" xfId="2" applyFont="1" applyBorder="1" applyAlignment="1">
      <alignment horizontal="right" vertical="center"/>
    </xf>
    <xf numFmtId="0" fontId="1" fillId="0" borderId="0" xfId="2" applyNumberFormat="1" applyFont="1" applyBorder="1" applyAlignment="1">
      <alignment horizontal="center" vertical="center"/>
    </xf>
    <xf numFmtId="43" fontId="2" fillId="0" borderId="0" xfId="2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43" fontId="2" fillId="0" borderId="3" xfId="2" applyFont="1" applyBorder="1" applyAlignment="1">
      <alignment horizontal="center" vertical="center"/>
    </xf>
    <xf numFmtId="43" fontId="10" fillId="0" borderId="6" xfId="2" applyFont="1" applyBorder="1" applyAlignment="1">
      <alignment vertical="center"/>
    </xf>
    <xf numFmtId="2" fontId="10" fillId="0" borderId="6" xfId="0" applyNumberFormat="1" applyFont="1" applyBorder="1" applyAlignment="1">
      <alignment vertical="center"/>
    </xf>
    <xf numFmtId="43" fontId="2" fillId="0" borderId="6" xfId="2" applyFont="1" applyBorder="1" applyAlignment="1">
      <alignment vertical="center"/>
    </xf>
    <xf numFmtId="0" fontId="1" fillId="0" borderId="27" xfId="0" applyFont="1" applyBorder="1" applyAlignment="1">
      <alignment horizontal="center" vertical="center"/>
    </xf>
    <xf numFmtId="43" fontId="7" fillId="0" borderId="25" xfId="2" applyFont="1" applyBorder="1" applyAlignment="1"/>
    <xf numFmtId="0" fontId="1" fillId="0" borderId="0" xfId="0" applyFont="1" applyBorder="1" applyAlignment="1">
      <alignment vertical="center"/>
    </xf>
    <xf numFmtId="43" fontId="2" fillId="0" borderId="0" xfId="1" applyFont="1" applyBorder="1" applyAlignment="1">
      <alignment horizontal="center" vertical="center"/>
    </xf>
    <xf numFmtId="43" fontId="2" fillId="0" borderId="0" xfId="1" applyNumberFormat="1" applyFont="1" applyBorder="1" applyAlignment="1">
      <alignment horizontal="right" vertical="center"/>
    </xf>
    <xf numFmtId="0" fontId="2" fillId="0" borderId="0" xfId="0" applyNumberFormat="1" applyFont="1" applyBorder="1" applyAlignment="1">
      <alignment horizontal="center" vertical="center"/>
    </xf>
    <xf numFmtId="0" fontId="0" fillId="0" borderId="0" xfId="0" applyBorder="1"/>
    <xf numFmtId="0" fontId="11" fillId="3" borderId="32" xfId="0" applyFont="1" applyFill="1" applyBorder="1" applyAlignment="1">
      <alignment horizontal="center" vertical="center"/>
    </xf>
    <xf numFmtId="0" fontId="11" fillId="3" borderId="33" xfId="0" applyFont="1" applyFill="1" applyBorder="1" applyAlignment="1">
      <alignment horizontal="center" vertical="center"/>
    </xf>
    <xf numFmtId="0" fontId="0" fillId="0" borderId="0" xfId="2" applyNumberFormat="1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4" borderId="34" xfId="0" applyFont="1" applyFill="1" applyBorder="1" applyAlignment="1">
      <alignment horizontal="center" vertical="center"/>
    </xf>
    <xf numFmtId="0" fontId="0" fillId="4" borderId="35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 wrapText="1"/>
    </xf>
    <xf numFmtId="0" fontId="0" fillId="0" borderId="34" xfId="0" applyFont="1" applyBorder="1" applyAlignment="1">
      <alignment horizontal="center" vertical="center"/>
    </xf>
    <xf numFmtId="0" fontId="0" fillId="0" borderId="35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36" xfId="0" applyFont="1" applyBorder="1" applyAlignment="1">
      <alignment horizontal="center" vertical="center"/>
    </xf>
    <xf numFmtId="0" fontId="0" fillId="0" borderId="3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0" borderId="0" xfId="2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vertical="top" wrapText="1"/>
    </xf>
    <xf numFmtId="0" fontId="0" fillId="0" borderId="0" xfId="0" applyFont="1" applyFill="1" applyBorder="1" applyAlignment="1">
      <alignment vertical="top"/>
    </xf>
    <xf numFmtId="0" fontId="0" fillId="0" borderId="0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" fillId="0" borderId="41" xfId="0" applyFont="1" applyBorder="1" applyAlignment="1">
      <alignment vertical="center"/>
    </xf>
    <xf numFmtId="3" fontId="2" fillId="0" borderId="43" xfId="0" applyNumberFormat="1" applyFont="1" applyBorder="1" applyAlignment="1">
      <alignment horizontal="center" vertical="center" wrapText="1"/>
    </xf>
    <xf numFmtId="0" fontId="18" fillId="2" borderId="42" xfId="0" applyFont="1" applyFill="1" applyBorder="1" applyAlignment="1">
      <alignment horizontal="center" vertical="center" wrapText="1"/>
    </xf>
    <xf numFmtId="43" fontId="16" fillId="0" borderId="22" xfId="2" applyFont="1" applyBorder="1" applyAlignment="1">
      <alignment horizontal="center"/>
    </xf>
    <xf numFmtId="0" fontId="21" fillId="2" borderId="42" xfId="0" applyFont="1" applyFill="1" applyBorder="1" applyAlignment="1">
      <alignment horizontal="center" vertical="center" wrapText="1"/>
    </xf>
    <xf numFmtId="43" fontId="22" fillId="0" borderId="6" xfId="2" applyFont="1" applyBorder="1" applyAlignment="1">
      <alignment vertical="center"/>
    </xf>
    <xf numFmtId="0" fontId="23" fillId="0" borderId="2" xfId="0" applyFont="1" applyBorder="1" applyAlignment="1">
      <alignment vertical="center"/>
    </xf>
    <xf numFmtId="0" fontId="16" fillId="0" borderId="3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left" vertical="center"/>
    </xf>
    <xf numFmtId="3" fontId="17" fillId="0" borderId="6" xfId="0" applyNumberFormat="1" applyFont="1" applyBorder="1" applyAlignment="1">
      <alignment horizontal="center" vertical="center" wrapText="1"/>
    </xf>
    <xf numFmtId="3" fontId="17" fillId="0" borderId="43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5" fillId="0" borderId="2" xfId="0" applyFont="1" applyBorder="1" applyAlignment="1">
      <alignment horizontal="left" vertical="top"/>
    </xf>
    <xf numFmtId="0" fontId="22" fillId="0" borderId="3" xfId="0" applyFont="1" applyBorder="1" applyAlignment="1">
      <alignment horizontal="center" vertical="center"/>
    </xf>
    <xf numFmtId="0" fontId="25" fillId="0" borderId="5" xfId="0" applyFont="1" applyBorder="1" applyAlignment="1">
      <alignment horizontal="left" vertical="top"/>
    </xf>
    <xf numFmtId="3" fontId="22" fillId="0" borderId="6" xfId="0" applyNumberFormat="1" applyFont="1" applyBorder="1" applyAlignment="1">
      <alignment horizontal="center" vertical="center" wrapText="1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9" fillId="0" borderId="23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4" fillId="0" borderId="7" xfId="0" applyFont="1" applyBorder="1" applyAlignment="1">
      <alignment horizontal="left"/>
    </xf>
    <xf numFmtId="0" fontId="4" fillId="0" borderId="8" xfId="0" applyFont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Fill="1" applyBorder="1" applyAlignment="1">
      <alignment horizontal="justify" vertical="center"/>
    </xf>
    <xf numFmtId="0" fontId="2" fillId="0" borderId="2" xfId="0" applyFont="1" applyBorder="1" applyAlignment="1">
      <alignment horizontal="center" vertical="center" wrapText="1"/>
    </xf>
    <xf numFmtId="0" fontId="25" fillId="0" borderId="7" xfId="0" applyFont="1" applyBorder="1" applyAlignment="1">
      <alignment horizontal="left"/>
    </xf>
    <xf numFmtId="0" fontId="25" fillId="0" borderId="8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24" fillId="2" borderId="10" xfId="0" applyFont="1" applyFill="1" applyBorder="1" applyAlignment="1">
      <alignment horizontal="center" vertical="center" wrapText="1"/>
    </xf>
    <xf numFmtId="0" fontId="24" fillId="2" borderId="11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4" fillId="2" borderId="0" xfId="0" applyFont="1" applyFill="1" applyBorder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24" fillId="2" borderId="18" xfId="0" applyFont="1" applyFill="1" applyBorder="1" applyAlignment="1">
      <alignment horizontal="center" vertical="center" wrapText="1"/>
    </xf>
    <xf numFmtId="0" fontId="24" fillId="2" borderId="19" xfId="0" applyFont="1" applyFill="1" applyBorder="1" applyAlignment="1">
      <alignment horizontal="center" vertical="center" wrapText="1"/>
    </xf>
    <xf numFmtId="0" fontId="24" fillId="2" borderId="20" xfId="0" applyFont="1" applyFill="1" applyBorder="1" applyAlignment="1">
      <alignment horizontal="center" vertical="center" wrapText="1"/>
    </xf>
    <xf numFmtId="0" fontId="4" fillId="0" borderId="12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13" xfId="0" applyFont="1" applyBorder="1" applyAlignment="1">
      <alignment horizontal="left"/>
    </xf>
    <xf numFmtId="0" fontId="2" fillId="0" borderId="24" xfId="0" applyFont="1" applyFill="1" applyBorder="1" applyAlignment="1">
      <alignment horizontal="right" vertical="center"/>
    </xf>
    <xf numFmtId="0" fontId="2" fillId="0" borderId="28" xfId="0" applyFont="1" applyFill="1" applyBorder="1" applyAlignment="1">
      <alignment horizontal="right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2" fillId="0" borderId="29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26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28" xfId="0" applyNumberFormat="1" applyFont="1" applyBorder="1" applyAlignment="1">
      <alignment horizontal="center"/>
    </xf>
    <xf numFmtId="164" fontId="2" fillId="0" borderId="31" xfId="0" applyNumberFormat="1" applyFont="1" applyBorder="1" applyAlignment="1">
      <alignment horizontal="center"/>
    </xf>
    <xf numFmtId="164" fontId="2" fillId="0" borderId="22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wrapText="1"/>
    </xf>
    <xf numFmtId="0" fontId="16" fillId="0" borderId="8" xfId="0" applyFont="1" applyBorder="1" applyAlignment="1">
      <alignment horizontal="center" wrapText="1"/>
    </xf>
    <xf numFmtId="0" fontId="16" fillId="0" borderId="26" xfId="0" applyFont="1" applyBorder="1" applyAlignment="1">
      <alignment horizontal="center" wrapText="1"/>
    </xf>
    <xf numFmtId="0" fontId="1" fillId="0" borderId="3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49" fontId="17" fillId="0" borderId="5" xfId="0" applyNumberFormat="1" applyFont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 wrapText="1"/>
    </xf>
    <xf numFmtId="0" fontId="1" fillId="0" borderId="31" xfId="0" applyFont="1" applyFill="1" applyBorder="1" applyAlignment="1">
      <alignment horizontal="center" vertical="center" wrapText="1"/>
    </xf>
    <xf numFmtId="0" fontId="17" fillId="0" borderId="31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49" fontId="2" fillId="0" borderId="5" xfId="0" applyNumberFormat="1" applyFont="1" applyBorder="1" applyAlignment="1">
      <alignment horizontal="center" vertical="center"/>
    </xf>
    <xf numFmtId="3" fontId="15" fillId="0" borderId="30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2" fillId="0" borderId="30" xfId="0" applyNumberFormat="1" applyFont="1" applyBorder="1" applyAlignment="1">
      <alignment horizontal="center" vertical="center" wrapText="1"/>
    </xf>
    <xf numFmtId="3" fontId="2" fillId="0" borderId="8" xfId="0" applyNumberFormat="1" applyFont="1" applyBorder="1" applyAlignment="1">
      <alignment horizontal="center" vertical="center" wrapText="1"/>
    </xf>
    <xf numFmtId="3" fontId="2" fillId="0" borderId="26" xfId="0" applyNumberFormat="1" applyFont="1" applyBorder="1" applyAlignment="1">
      <alignment horizontal="center" vertical="center" wrapText="1"/>
    </xf>
    <xf numFmtId="14" fontId="10" fillId="0" borderId="5" xfId="0" applyNumberFormat="1" applyFont="1" applyBorder="1" applyAlignment="1">
      <alignment horizontal="center" vertical="center"/>
    </xf>
    <xf numFmtId="0" fontId="20" fillId="0" borderId="38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0" fillId="0" borderId="31" xfId="0" applyBorder="1"/>
    <xf numFmtId="0" fontId="0" fillId="0" borderId="24" xfId="0" applyBorder="1"/>
    <xf numFmtId="43" fontId="7" fillId="0" borderId="31" xfId="2" applyFont="1" applyBorder="1" applyAlignment="1"/>
    <xf numFmtId="0" fontId="20" fillId="0" borderId="38" xfId="0" applyFont="1" applyBorder="1" applyAlignment="1">
      <alignment horizontal="center" vertical="center" wrapText="1"/>
    </xf>
    <xf numFmtId="0" fontId="20" fillId="0" borderId="39" xfId="0" applyFont="1" applyBorder="1" applyAlignment="1">
      <alignment horizontal="center" vertical="center" wrapText="1"/>
    </xf>
    <xf numFmtId="0" fontId="20" fillId="0" borderId="40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13" fillId="2" borderId="9" xfId="0" applyFont="1" applyFill="1" applyBorder="1" applyAlignment="1">
      <alignment horizontal="center" vertical="center" wrapText="1"/>
    </xf>
    <xf numFmtId="0" fontId="13" fillId="2" borderId="10" xfId="0" applyFont="1" applyFill="1" applyBorder="1" applyAlignment="1">
      <alignment horizontal="center" vertical="center" wrapText="1"/>
    </xf>
    <xf numFmtId="0" fontId="13" fillId="2" borderId="11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center" vertical="center" wrapText="1"/>
    </xf>
    <xf numFmtId="0" fontId="13" fillId="2" borderId="15" xfId="0" applyFont="1" applyFill="1" applyBorder="1" applyAlignment="1">
      <alignment horizontal="center" vertical="center" wrapText="1"/>
    </xf>
    <xf numFmtId="0" fontId="13" fillId="2" borderId="18" xfId="0" applyFont="1" applyFill="1" applyBorder="1" applyAlignment="1">
      <alignment horizontal="center" vertical="center" wrapText="1"/>
    </xf>
    <xf numFmtId="0" fontId="13" fillId="2" borderId="19" xfId="0" applyFont="1" applyFill="1" applyBorder="1" applyAlignment="1">
      <alignment horizontal="center" vertical="center" wrapText="1"/>
    </xf>
    <xf numFmtId="0" fontId="13" fillId="2" borderId="20" xfId="0" applyFont="1" applyFill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wrapText="1"/>
    </xf>
    <xf numFmtId="0" fontId="16" fillId="0" borderId="8" xfId="0" applyFont="1" applyBorder="1" applyAlignment="1">
      <alignment horizontal="center" wrapText="1"/>
    </xf>
    <xf numFmtId="0" fontId="16" fillId="0" borderId="26" xfId="0" applyFont="1" applyBorder="1" applyAlignment="1">
      <alignment horizontal="center" wrapText="1"/>
    </xf>
    <xf numFmtId="0" fontId="1" fillId="0" borderId="27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64" fontId="2" fillId="0" borderId="38" xfId="0" applyNumberFormat="1" applyFont="1" applyBorder="1" applyAlignment="1">
      <alignment horizontal="center"/>
    </xf>
    <xf numFmtId="164" fontId="2" fillId="0" borderId="39" xfId="0" applyNumberFormat="1" applyFont="1" applyBorder="1" applyAlignment="1">
      <alignment horizontal="center"/>
    </xf>
    <xf numFmtId="164" fontId="2" fillId="0" borderId="46" xfId="0" applyNumberFormat="1" applyFont="1" applyBorder="1" applyAlignment="1">
      <alignment horizontal="center"/>
    </xf>
    <xf numFmtId="164" fontId="2" fillId="0" borderId="14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4" fontId="2" fillId="0" borderId="47" xfId="0" applyNumberFormat="1" applyFont="1" applyBorder="1" applyAlignment="1">
      <alignment horizontal="center"/>
    </xf>
    <xf numFmtId="164" fontId="2" fillId="0" borderId="48" xfId="0" applyNumberFormat="1" applyFont="1" applyBorder="1" applyAlignment="1">
      <alignment horizontal="center"/>
    </xf>
    <xf numFmtId="164" fontId="2" fillId="0" borderId="49" xfId="0" applyNumberFormat="1" applyFont="1" applyBorder="1" applyAlignment="1">
      <alignment horizontal="center"/>
    </xf>
    <xf numFmtId="14" fontId="22" fillId="0" borderId="30" xfId="0" applyNumberFormat="1" applyFont="1" applyBorder="1" applyAlignment="1">
      <alignment horizontal="center" vertical="center"/>
    </xf>
    <xf numFmtId="14" fontId="22" fillId="0" borderId="8" xfId="0" applyNumberFormat="1" applyFont="1" applyBorder="1" applyAlignment="1">
      <alignment horizontal="center" vertical="center"/>
    </xf>
    <xf numFmtId="14" fontId="22" fillId="0" borderId="26" xfId="0" applyNumberFormat="1" applyFont="1" applyBorder="1" applyAlignment="1">
      <alignment horizontal="center" vertical="center"/>
    </xf>
    <xf numFmtId="49" fontId="17" fillId="0" borderId="30" xfId="0" applyNumberFormat="1" applyFont="1" applyBorder="1" applyAlignment="1">
      <alignment horizontal="center" vertical="center"/>
    </xf>
    <xf numFmtId="49" fontId="17" fillId="0" borderId="8" xfId="0" applyNumberFormat="1" applyFont="1" applyBorder="1" applyAlignment="1">
      <alignment horizontal="center" vertical="center"/>
    </xf>
    <xf numFmtId="49" fontId="17" fillId="0" borderId="26" xfId="0" applyNumberFormat="1" applyFont="1" applyBorder="1" applyAlignment="1">
      <alignment horizontal="center" vertical="center"/>
    </xf>
    <xf numFmtId="3" fontId="17" fillId="0" borderId="30" xfId="0" applyNumberFormat="1" applyFont="1" applyBorder="1" applyAlignment="1">
      <alignment horizontal="center" vertical="center" wrapText="1"/>
    </xf>
    <xf numFmtId="3" fontId="17" fillId="0" borderId="8" xfId="0" applyNumberFormat="1" applyFont="1" applyBorder="1" applyAlignment="1">
      <alignment horizontal="center" vertical="center" wrapText="1"/>
    </xf>
    <xf numFmtId="3" fontId="17" fillId="0" borderId="26" xfId="0" applyNumberFormat="1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</cellXfs>
  <cellStyles count="3">
    <cellStyle name="Millares" xfId="1" builtinId="3"/>
    <cellStyle name="Millares 2" xfId="2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>
      <selection activeCell="B3" sqref="B3"/>
    </sheetView>
  </sheetViews>
  <sheetFormatPr baseColWidth="10" defaultRowHeight="15"/>
  <sheetData>
    <row r="1" spans="1:7">
      <c r="A1" s="31" t="s">
        <v>0</v>
      </c>
      <c r="B1" s="31" t="s">
        <v>1</v>
      </c>
      <c r="C1" s="31" t="s">
        <v>2</v>
      </c>
      <c r="E1" s="32" t="s">
        <v>3</v>
      </c>
      <c r="F1" s="33" t="s">
        <v>4</v>
      </c>
      <c r="G1" s="33" t="s">
        <v>5</v>
      </c>
    </row>
    <row r="2" spans="1:7">
      <c r="A2" s="34">
        <v>0</v>
      </c>
      <c r="B2" s="35"/>
      <c r="C2" s="35"/>
      <c r="E2" s="36" t="s">
        <v>6</v>
      </c>
      <c r="F2" s="37" t="s">
        <v>7</v>
      </c>
      <c r="G2" s="37" t="s">
        <v>8</v>
      </c>
    </row>
    <row r="3" spans="1:7" ht="180">
      <c r="A3" s="38"/>
      <c r="B3" s="39" t="s">
        <v>9</v>
      </c>
      <c r="C3" s="39"/>
      <c r="E3" s="40" t="s">
        <v>10</v>
      </c>
      <c r="F3" s="41" t="s">
        <v>7</v>
      </c>
      <c r="G3" s="41" t="s">
        <v>11</v>
      </c>
    </row>
    <row r="4" spans="1:7" ht="105">
      <c r="A4" s="38"/>
      <c r="B4" s="39" t="s">
        <v>12</v>
      </c>
      <c r="C4" s="39"/>
      <c r="E4" s="36" t="s">
        <v>13</v>
      </c>
      <c r="F4" s="37" t="s">
        <v>14</v>
      </c>
      <c r="G4" s="37" t="s">
        <v>15</v>
      </c>
    </row>
    <row r="5" spans="1:7">
      <c r="A5" s="38"/>
      <c r="B5" s="42" t="s">
        <v>16</v>
      </c>
      <c r="C5" s="42"/>
      <c r="E5" s="43" t="s">
        <v>17</v>
      </c>
      <c r="F5" s="44" t="s">
        <v>14</v>
      </c>
      <c r="G5" s="44" t="s">
        <v>18</v>
      </c>
    </row>
    <row r="6" spans="1:7" ht="90">
      <c r="A6" s="38"/>
      <c r="B6" s="39" t="s">
        <v>19</v>
      </c>
      <c r="C6" s="39"/>
      <c r="E6" s="45" t="s">
        <v>20</v>
      </c>
    </row>
    <row r="7" spans="1:7">
      <c r="A7" s="38"/>
      <c r="B7" s="42" t="s">
        <v>21</v>
      </c>
      <c r="C7" s="42"/>
    </row>
    <row r="8" spans="1:7">
      <c r="A8" s="38"/>
      <c r="B8" s="42" t="s">
        <v>22</v>
      </c>
      <c r="C8" s="42"/>
    </row>
    <row r="9" spans="1:7">
      <c r="A9" s="38"/>
      <c r="B9" s="42" t="s">
        <v>23</v>
      </c>
      <c r="C9" s="42"/>
    </row>
    <row r="10" spans="1:7">
      <c r="A10" s="38"/>
      <c r="B10" s="42" t="s">
        <v>24</v>
      </c>
      <c r="C10" s="42"/>
    </row>
    <row r="11" spans="1:7">
      <c r="A11" s="38"/>
      <c r="B11" s="42" t="s">
        <v>25</v>
      </c>
      <c r="C11" s="42"/>
    </row>
    <row r="12" spans="1:7" ht="75">
      <c r="A12" s="38"/>
      <c r="B12" s="39" t="s">
        <v>26</v>
      </c>
      <c r="C12" s="39"/>
    </row>
    <row r="13" spans="1:7">
      <c r="A13" s="38"/>
      <c r="B13" s="46" t="s">
        <v>27</v>
      </c>
      <c r="C13" s="46"/>
    </row>
    <row r="14" spans="1:7">
      <c r="A14" s="38"/>
      <c r="B14" s="46" t="s">
        <v>28</v>
      </c>
      <c r="C14" s="46"/>
    </row>
    <row r="15" spans="1:7">
      <c r="A15" s="38"/>
      <c r="B15" s="46" t="s">
        <v>29</v>
      </c>
      <c r="C15" s="46"/>
    </row>
    <row r="16" spans="1:7" ht="120">
      <c r="A16" s="38"/>
      <c r="B16" s="47" t="s">
        <v>30</v>
      </c>
      <c r="C16" s="47"/>
    </row>
    <row r="17" spans="1:3" ht="105">
      <c r="A17" s="38"/>
      <c r="B17" s="47" t="s">
        <v>31</v>
      </c>
      <c r="C17" s="47"/>
    </row>
    <row r="18" spans="1:3">
      <c r="A18" s="48"/>
      <c r="B18" s="46" t="s">
        <v>32</v>
      </c>
      <c r="C18" s="46"/>
    </row>
    <row r="19" spans="1:3">
      <c r="A19" s="48"/>
      <c r="B19" s="46" t="s">
        <v>33</v>
      </c>
      <c r="C19" s="46"/>
    </row>
    <row r="20" spans="1:3">
      <c r="A20" s="48"/>
      <c r="B20" s="46" t="s">
        <v>34</v>
      </c>
      <c r="C20" s="46"/>
    </row>
    <row r="21" spans="1:3">
      <c r="A21" s="48"/>
      <c r="B21" s="46" t="s">
        <v>35</v>
      </c>
      <c r="C21" s="46"/>
    </row>
    <row r="22" spans="1:3">
      <c r="A22" s="48"/>
      <c r="B22" s="46" t="s">
        <v>36</v>
      </c>
      <c r="C22" s="46"/>
    </row>
    <row r="23" spans="1:3">
      <c r="A23" s="48"/>
      <c r="B23" s="46" t="s">
        <v>37</v>
      </c>
      <c r="C23" s="46"/>
    </row>
    <row r="24" spans="1:3">
      <c r="A24" s="48"/>
      <c r="B24" s="46" t="s">
        <v>38</v>
      </c>
      <c r="C24" s="46"/>
    </row>
    <row r="25" spans="1:3">
      <c r="A25" s="48"/>
      <c r="B25" s="46" t="s">
        <v>39</v>
      </c>
      <c r="C25" s="46"/>
    </row>
    <row r="26" spans="1:3">
      <c r="A26" s="48"/>
      <c r="B26" s="46" t="s">
        <v>40</v>
      </c>
      <c r="C26" s="46"/>
    </row>
    <row r="27" spans="1:3">
      <c r="A27" s="48"/>
      <c r="B27" s="46" t="s">
        <v>41</v>
      </c>
      <c r="C27" s="46"/>
    </row>
    <row r="28" spans="1:3">
      <c r="A28" s="48"/>
      <c r="B28" s="46" t="s">
        <v>42</v>
      </c>
      <c r="C28" s="46"/>
    </row>
    <row r="29" spans="1:3">
      <c r="A29" s="48"/>
      <c r="B29" s="46" t="s">
        <v>43</v>
      </c>
      <c r="C29" s="46"/>
    </row>
    <row r="30" spans="1:3">
      <c r="A30" s="48"/>
      <c r="B30" s="46" t="s">
        <v>44</v>
      </c>
      <c r="C30" s="46"/>
    </row>
    <row r="31" spans="1:3">
      <c r="A31" s="48"/>
      <c r="B31" s="46" t="s">
        <v>45</v>
      </c>
      <c r="C31" s="46"/>
    </row>
    <row r="32" spans="1:3">
      <c r="A32" s="48"/>
      <c r="B32" s="46" t="s">
        <v>46</v>
      </c>
      <c r="C32" s="46"/>
    </row>
    <row r="33" spans="1:3" ht="195">
      <c r="A33" s="48"/>
      <c r="B33" s="49" t="s">
        <v>47</v>
      </c>
      <c r="C33" s="50"/>
    </row>
    <row r="34" spans="1:3" ht="60">
      <c r="A34" s="51"/>
      <c r="B34" s="49" t="s">
        <v>48</v>
      </c>
      <c r="C34" s="5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topLeftCell="A25" workbookViewId="0">
      <selection activeCell="J14" sqref="J14"/>
    </sheetView>
  </sheetViews>
  <sheetFormatPr baseColWidth="10" defaultRowHeight="15"/>
  <cols>
    <col min="2" max="2" width="10" customWidth="1"/>
    <col min="5" max="5" width="9.42578125" customWidth="1"/>
    <col min="7" max="7" width="7.5703125" customWidth="1"/>
    <col min="8" max="8" width="12.5703125" customWidth="1"/>
  </cols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e">
        <f>UPPER(IF(B17="EXONERADO","EXONERADO",cMoneda2(B17,"Bolívar","Bolívares",1,"")))</f>
        <v>#VALUE!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C8" s="81"/>
      <c r="D8" s="81"/>
      <c r="E8" s="81"/>
      <c r="F8" s="81"/>
      <c r="G8" s="81"/>
      <c r="H8" s="80" t="s">
        <v>82</v>
      </c>
    </row>
    <row r="9" spans="1:17">
      <c r="A9" s="1"/>
      <c r="B9" s="3"/>
      <c r="C9" s="3"/>
      <c r="D9" s="3"/>
      <c r="E9" s="3"/>
      <c r="F9" s="3"/>
      <c r="G9" s="3"/>
      <c r="H9" s="3"/>
    </row>
    <row r="10" spans="1:17">
      <c r="A10" s="1"/>
      <c r="C10" s="81"/>
      <c r="D10" s="81"/>
      <c r="E10" s="81"/>
      <c r="F10" s="81"/>
      <c r="H10" s="81" t="s">
        <v>70</v>
      </c>
    </row>
    <row r="11" spans="1:17" ht="15.75" thickBot="1">
      <c r="A11" s="1"/>
      <c r="B11" s="7"/>
      <c r="C11" s="7"/>
      <c r="D11" s="7"/>
      <c r="E11" s="7"/>
      <c r="F11" s="7"/>
      <c r="G11" s="7"/>
      <c r="H11" s="7"/>
      <c r="K11" s="14">
        <f>B17</f>
        <v>-6628.21</v>
      </c>
      <c r="L11" s="82" t="e">
        <f>UPPER(IF(K11="EXONERADO","EXONERADO",cMoneda2(K11,"Bolívar","Bolívares",1,"")))</f>
        <v>#VALUE!</v>
      </c>
      <c r="M11" s="83"/>
      <c r="N11" s="83"/>
      <c r="O11" s="83"/>
      <c r="P11" s="83"/>
      <c r="Q11" s="84"/>
    </row>
    <row r="12" spans="1:17">
      <c r="A12" s="8" t="s">
        <v>49</v>
      </c>
      <c r="B12" s="9"/>
      <c r="C12" s="166" t="s">
        <v>65</v>
      </c>
      <c r="D12" s="167"/>
      <c r="E12" s="167"/>
      <c r="F12" s="168"/>
      <c r="G12" s="60" t="s">
        <v>50</v>
      </c>
      <c r="H12" s="61" t="s">
        <v>83</v>
      </c>
    </row>
    <row r="13" spans="1:17" ht="15.75" customHeight="1">
      <c r="A13" s="10" t="s">
        <v>51</v>
      </c>
      <c r="B13" s="11"/>
      <c r="C13" s="169"/>
      <c r="D13" s="170"/>
      <c r="E13" s="170"/>
      <c r="F13" s="171"/>
      <c r="G13" s="62" t="s">
        <v>52</v>
      </c>
      <c r="H13" s="63"/>
    </row>
    <row r="14" spans="1:17" ht="40.5" customHeight="1">
      <c r="A14" s="94" t="s">
        <v>53</v>
      </c>
      <c r="B14" s="95"/>
      <c r="C14" s="175" t="s">
        <v>84</v>
      </c>
      <c r="D14" s="176"/>
      <c r="E14" s="176"/>
      <c r="F14" s="176"/>
      <c r="G14" s="176"/>
      <c r="H14" s="177"/>
    </row>
    <row r="15" spans="1:17">
      <c r="A15" s="75" t="s">
        <v>54</v>
      </c>
      <c r="B15" s="76"/>
      <c r="C15" s="178"/>
      <c r="D15" s="179"/>
      <c r="E15" s="179"/>
      <c r="F15" s="179"/>
      <c r="G15" s="179"/>
      <c r="H15" s="180"/>
    </row>
    <row r="16" spans="1:17">
      <c r="A16" s="77"/>
      <c r="B16" s="78"/>
      <c r="C16" s="181"/>
      <c r="D16" s="182"/>
      <c r="E16" s="182"/>
      <c r="F16" s="182"/>
      <c r="G16" s="182"/>
      <c r="H16" s="183"/>
    </row>
    <row r="17" spans="1:8" ht="15.75" customHeight="1" thickBot="1">
      <c r="A17" s="13" t="s">
        <v>55</v>
      </c>
      <c r="B17" s="57">
        <v>-6628.21</v>
      </c>
      <c r="C17" s="172" t="s">
        <v>96</v>
      </c>
      <c r="D17" s="173"/>
      <c r="E17" s="173"/>
      <c r="F17" s="173"/>
      <c r="G17" s="173"/>
      <c r="H17" s="17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 ht="15.75" thickBot="1">
      <c r="A19" s="16"/>
      <c r="B19" s="88"/>
      <c r="C19" s="88"/>
      <c r="D19" s="17"/>
      <c r="E19" s="18"/>
      <c r="F19" s="89"/>
      <c r="G19" s="89"/>
      <c r="H19" s="19"/>
    </row>
    <row r="20" spans="1:8" ht="25.5" customHeight="1">
      <c r="A20" s="20" t="s">
        <v>56</v>
      </c>
      <c r="B20" s="184" t="s">
        <v>57</v>
      </c>
      <c r="C20" s="185"/>
      <c r="D20" s="185"/>
      <c r="E20" s="185"/>
      <c r="F20" s="185"/>
      <c r="G20" s="186"/>
      <c r="H20" s="21" t="s">
        <v>58</v>
      </c>
    </row>
    <row r="21" spans="1:8">
      <c r="A21" s="91" t="s">
        <v>88</v>
      </c>
      <c r="B21" s="92"/>
      <c r="C21" s="92"/>
      <c r="D21" s="92"/>
      <c r="E21" s="92"/>
      <c r="F21" s="92"/>
      <c r="G21" s="93"/>
      <c r="H21" s="59">
        <v>-6607.71</v>
      </c>
    </row>
    <row r="22" spans="1:8">
      <c r="A22" s="91" t="s">
        <v>89</v>
      </c>
      <c r="B22" s="92"/>
      <c r="C22" s="92"/>
      <c r="D22" s="92"/>
      <c r="E22" s="92"/>
      <c r="F22" s="92"/>
      <c r="G22" s="93"/>
      <c r="H22" s="22">
        <v>-20.5</v>
      </c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 ht="15.75" thickBot="1">
      <c r="A30" s="25"/>
      <c r="B30" s="164"/>
      <c r="C30" s="107"/>
      <c r="D30" s="107"/>
      <c r="E30" s="107"/>
      <c r="F30" s="107"/>
      <c r="G30" s="107" t="s">
        <v>59</v>
      </c>
      <c r="H30" s="165">
        <f>SUM(H21:H29)</f>
        <v>-6628.21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 ht="15.75" thickBot="1">
      <c r="A34" s="27"/>
      <c r="B34" s="27"/>
      <c r="C34" s="27"/>
      <c r="D34" s="27"/>
      <c r="E34" s="30"/>
      <c r="F34" s="27"/>
      <c r="G34" s="27"/>
      <c r="H34" s="27"/>
    </row>
    <row r="35" spans="1:8">
      <c r="A35" s="212" t="s">
        <v>60</v>
      </c>
      <c r="B35" s="213"/>
      <c r="C35" s="213"/>
      <c r="D35" s="213"/>
      <c r="E35" s="214"/>
      <c r="F35" s="194" t="s">
        <v>61</v>
      </c>
      <c r="G35" s="195"/>
      <c r="H35" s="196"/>
    </row>
    <row r="36" spans="1:8" ht="17.25" customHeight="1">
      <c r="A36" s="192" t="s">
        <v>62</v>
      </c>
      <c r="B36" s="193"/>
      <c r="C36" s="187" t="s">
        <v>85</v>
      </c>
      <c r="D36" s="188"/>
      <c r="E36" s="189"/>
      <c r="F36" s="197"/>
      <c r="G36" s="198"/>
      <c r="H36" s="199"/>
    </row>
    <row r="37" spans="1:8" ht="24" customHeight="1">
      <c r="A37" s="192" t="s">
        <v>63</v>
      </c>
      <c r="B37" s="193"/>
      <c r="C37" s="187" t="s">
        <v>86</v>
      </c>
      <c r="D37" s="188"/>
      <c r="E37" s="189"/>
      <c r="F37" s="197"/>
      <c r="G37" s="198"/>
      <c r="H37" s="199"/>
    </row>
    <row r="38" spans="1:8" ht="25.5" customHeight="1">
      <c r="A38" s="215" t="s">
        <v>64</v>
      </c>
      <c r="B38" s="216"/>
      <c r="C38" s="209" t="s">
        <v>65</v>
      </c>
      <c r="D38" s="210"/>
      <c r="E38" s="211"/>
      <c r="F38" s="197"/>
      <c r="G38" s="198"/>
      <c r="H38" s="199"/>
    </row>
    <row r="39" spans="1:8">
      <c r="A39" s="192" t="s">
        <v>66</v>
      </c>
      <c r="B39" s="193"/>
      <c r="C39" s="203" t="s">
        <v>87</v>
      </c>
      <c r="D39" s="204"/>
      <c r="E39" s="205"/>
      <c r="F39" s="197"/>
      <c r="G39" s="198"/>
      <c r="H39" s="199"/>
    </row>
    <row r="40" spans="1:8">
      <c r="A40" s="192" t="s">
        <v>67</v>
      </c>
      <c r="B40" s="193"/>
      <c r="C40" s="206" t="s">
        <v>87</v>
      </c>
      <c r="D40" s="207"/>
      <c r="E40" s="208"/>
      <c r="F40" s="197"/>
      <c r="G40" s="198"/>
      <c r="H40" s="199"/>
    </row>
    <row r="41" spans="1:8" ht="26.25" customHeight="1" thickBot="1">
      <c r="A41" s="190" t="s">
        <v>68</v>
      </c>
      <c r="B41" s="191"/>
      <c r="C41" s="163"/>
      <c r="D41" s="134" t="s">
        <v>81</v>
      </c>
      <c r="E41" s="135"/>
      <c r="F41" s="200"/>
      <c r="G41" s="201"/>
      <c r="H41" s="202"/>
    </row>
  </sheetData>
  <mergeCells count="17">
    <mergeCell ref="A41:B41"/>
    <mergeCell ref="A40:B40"/>
    <mergeCell ref="F35:H41"/>
    <mergeCell ref="C39:E39"/>
    <mergeCell ref="C40:E40"/>
    <mergeCell ref="C37:E37"/>
    <mergeCell ref="C38:E38"/>
    <mergeCell ref="A35:E35"/>
    <mergeCell ref="A36:B36"/>
    <mergeCell ref="A37:B37"/>
    <mergeCell ref="A39:B39"/>
    <mergeCell ref="A38:B38"/>
    <mergeCell ref="C12:F13"/>
    <mergeCell ref="C17:H17"/>
    <mergeCell ref="C14:H16"/>
    <mergeCell ref="B20:G20"/>
    <mergeCell ref="C36:E3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NUEVE MILLONES SETECIENTOS CINCUENTA Y OCHO MIL BOLÍVARES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1" t="s">
        <v>71</v>
      </c>
      <c r="C8" s="81"/>
      <c r="D8" s="81"/>
      <c r="E8" s="81"/>
      <c r="F8" s="81"/>
      <c r="G8" s="81"/>
      <c r="H8" s="81"/>
    </row>
    <row r="9" spans="1:17">
      <c r="A9" s="1"/>
      <c r="B9" s="3"/>
      <c r="C9" s="3"/>
      <c r="D9" s="3"/>
      <c r="E9" s="3"/>
      <c r="F9" s="3"/>
      <c r="G9" s="3"/>
      <c r="H9" s="3"/>
    </row>
    <row r="10" spans="1:17">
      <c r="A10" s="1"/>
      <c r="B10" s="81" t="s">
        <v>70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47.25">
      <c r="A12" s="8" t="s">
        <v>49</v>
      </c>
      <c r="B12" s="9"/>
      <c r="C12" s="136" t="s">
        <v>72</v>
      </c>
      <c r="D12" s="137"/>
      <c r="E12" s="137"/>
      <c r="F12" s="138"/>
      <c r="G12" s="54" t="s">
        <v>50</v>
      </c>
      <c r="H12" s="56" t="s">
        <v>75</v>
      </c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55"/>
    </row>
    <row r="14" spans="1:17">
      <c r="A14" s="94" t="s">
        <v>53</v>
      </c>
      <c r="B14" s="95"/>
      <c r="C14" s="142" t="s">
        <v>76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68.25">
      <c r="A17" s="13" t="s">
        <v>55</v>
      </c>
      <c r="B17" s="14">
        <v>9758000</v>
      </c>
      <c r="C17" s="82" t="str">
        <f>UPPER(IF(B17="EXONERADO","EXONERADO",cMoneda2(B17,"Bolívar","Bolívares",1,"")))</f>
        <v xml:space="preserve">NUEVE MILLONES SETECIENTOS CINCUENTA Y OCHO MIL BOLÍVARES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20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46</v>
      </c>
      <c r="B21" s="86"/>
      <c r="C21" s="86"/>
      <c r="D21" s="86"/>
      <c r="E21" s="86"/>
      <c r="F21" s="86"/>
      <c r="G21" s="87"/>
      <c r="H21" s="22">
        <v>9758000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9758000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 ht="36.75">
      <c r="A36" s="123" t="s">
        <v>62</v>
      </c>
      <c r="B36" s="124"/>
      <c r="C36" s="125" t="s">
        <v>14</v>
      </c>
      <c r="D36" s="126"/>
      <c r="E36" s="127"/>
      <c r="F36" s="117"/>
      <c r="G36" s="118"/>
      <c r="H36" s="119"/>
    </row>
    <row r="37" spans="1:8" ht="33.75">
      <c r="A37" s="123" t="s">
        <v>63</v>
      </c>
      <c r="B37" s="128"/>
      <c r="C37" s="152" t="s">
        <v>73</v>
      </c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>
        <v>45901</v>
      </c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 t="s">
        <v>74</v>
      </c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5" t="s">
        <v>69</v>
      </c>
      <c r="D41" s="135"/>
      <c r="E41" s="135"/>
      <c r="F41" s="120"/>
      <c r="G41" s="121"/>
      <c r="H41" s="1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>EXONERADO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77</v>
      </c>
      <c r="C8" s="81"/>
      <c r="D8" s="81"/>
      <c r="E8" s="81"/>
      <c r="F8" s="81"/>
      <c r="G8" s="81"/>
      <c r="H8" s="81"/>
    </row>
    <row r="9" spans="1:17">
      <c r="A9" s="1"/>
      <c r="B9" s="3"/>
      <c r="C9" s="3"/>
      <c r="D9" s="3"/>
      <c r="E9" s="3"/>
      <c r="F9" s="3"/>
      <c r="G9" s="3"/>
      <c r="H9" s="3"/>
    </row>
    <row r="10" spans="1:17">
      <c r="A10" s="1"/>
      <c r="B10" s="81" t="s">
        <v>70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47.25">
      <c r="A12" s="8" t="s">
        <v>49</v>
      </c>
      <c r="B12" s="9"/>
      <c r="C12" s="159" t="s">
        <v>79</v>
      </c>
      <c r="D12" s="137"/>
      <c r="E12" s="137"/>
      <c r="F12" s="138"/>
      <c r="G12" s="54" t="s">
        <v>50</v>
      </c>
      <c r="H12" s="58" t="s">
        <v>78</v>
      </c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55"/>
    </row>
    <row r="14" spans="1:17">
      <c r="A14" s="94" t="s">
        <v>53</v>
      </c>
      <c r="B14" s="95"/>
      <c r="C14" s="142" t="s">
        <v>80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>
      <c r="A17" s="13" t="s">
        <v>55</v>
      </c>
      <c r="B17" s="57" t="s">
        <v>20</v>
      </c>
      <c r="C17" s="82" t="str">
        <f>UPPER(IF(B17="EXONERADO","EXONERADO",cMoneda2(B17,"Bolívar","Bolívares",1,"")))</f>
        <v>EXONERADO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20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37</v>
      </c>
      <c r="B21" s="86"/>
      <c r="C21" s="86"/>
      <c r="D21" s="86"/>
      <c r="E21" s="86"/>
      <c r="F21" s="86"/>
      <c r="G21" s="87"/>
      <c r="H21" s="59" t="s">
        <v>20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0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>
      <c r="A36" s="123" t="s">
        <v>62</v>
      </c>
      <c r="B36" s="124"/>
      <c r="C36" s="125"/>
      <c r="D36" s="126"/>
      <c r="E36" s="127"/>
      <c r="F36" s="117"/>
      <c r="G36" s="118"/>
      <c r="H36" s="119"/>
    </row>
    <row r="37" spans="1:8">
      <c r="A37" s="123" t="s">
        <v>63</v>
      </c>
      <c r="B37" s="128"/>
      <c r="C37" s="152"/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/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/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CINCO MIL DOSCIENTOS NUEVE BOLÍVARES CON OCHENTA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90</v>
      </c>
      <c r="C8" s="81"/>
      <c r="D8" s="81"/>
      <c r="E8" s="81"/>
      <c r="F8" s="81"/>
      <c r="G8" s="81"/>
      <c r="H8" s="81"/>
    </row>
    <row r="9" spans="1:17">
      <c r="A9" s="1"/>
      <c r="B9" s="3"/>
      <c r="C9" s="3"/>
      <c r="D9" s="3"/>
      <c r="E9" s="3"/>
      <c r="F9" s="3"/>
      <c r="G9" s="3"/>
      <c r="H9" s="3"/>
    </row>
    <row r="10" spans="1:17">
      <c r="A10" s="1"/>
      <c r="B10" s="80" t="s">
        <v>91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63">
      <c r="A12" s="8" t="s">
        <v>49</v>
      </c>
      <c r="B12" s="9"/>
      <c r="C12" s="159" t="s">
        <v>92</v>
      </c>
      <c r="D12" s="137"/>
      <c r="E12" s="137"/>
      <c r="F12" s="138"/>
      <c r="G12" s="54" t="s">
        <v>50</v>
      </c>
      <c r="H12" s="58"/>
    </row>
    <row r="13" spans="1:17" ht="25.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93</v>
      </c>
    </row>
    <row r="14" spans="1:17">
      <c r="A14" s="94" t="s">
        <v>53</v>
      </c>
      <c r="B14" s="95"/>
      <c r="C14" s="142" t="s">
        <v>94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79.5">
      <c r="A17" s="13" t="s">
        <v>55</v>
      </c>
      <c r="B17" s="57">
        <v>5209.8</v>
      </c>
      <c r="C17" s="82" t="str">
        <f>UPPER(IF(B17="EXONERADO","EXONERADO",cMoneda2(B17,"Bolívar","Bolívares",1,"")))</f>
        <v xml:space="preserve">CINCO MIL DOSCIENTOS NUEVE BOLÍVARES CON OCHENTA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20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37</v>
      </c>
      <c r="B21" s="86"/>
      <c r="C21" s="86"/>
      <c r="D21" s="86"/>
      <c r="E21" s="86"/>
      <c r="F21" s="86"/>
      <c r="G21" s="87"/>
      <c r="H21" s="59">
        <v>5209.8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5209.8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 ht="24.75">
      <c r="A36" s="123" t="s">
        <v>62</v>
      </c>
      <c r="B36" s="124"/>
      <c r="C36" s="125" t="s">
        <v>7</v>
      </c>
      <c r="D36" s="126"/>
      <c r="E36" s="127"/>
      <c r="F36" s="117"/>
      <c r="G36" s="118"/>
      <c r="H36" s="119"/>
    </row>
    <row r="37" spans="1:8" ht="33.75">
      <c r="A37" s="123" t="s">
        <v>63</v>
      </c>
      <c r="B37" s="128"/>
      <c r="C37" s="152" t="s">
        <v>6</v>
      </c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>
        <v>45902</v>
      </c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 t="s">
        <v>95</v>
      </c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>EXONERADO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97</v>
      </c>
      <c r="C8" s="81"/>
      <c r="D8" s="81"/>
      <c r="E8" s="81"/>
      <c r="F8" s="81"/>
      <c r="G8" s="81"/>
      <c r="H8" s="81"/>
    </row>
    <row r="9" spans="1:17">
      <c r="A9" s="1"/>
      <c r="B9" s="52"/>
      <c r="C9" s="52"/>
      <c r="D9" s="52"/>
      <c r="E9" s="52"/>
      <c r="F9" s="52"/>
      <c r="G9" s="52"/>
      <c r="H9" s="52"/>
    </row>
    <row r="10" spans="1:17">
      <c r="A10" s="1"/>
      <c r="B10" s="81" t="s">
        <v>98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78.75">
      <c r="A12" s="8" t="s">
        <v>49</v>
      </c>
      <c r="B12" s="9"/>
      <c r="C12" s="159" t="s">
        <v>99</v>
      </c>
      <c r="D12" s="137"/>
      <c r="E12" s="137"/>
      <c r="F12" s="138"/>
      <c r="G12" s="54" t="s">
        <v>50</v>
      </c>
      <c r="H12" s="58"/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55" t="s">
        <v>100</v>
      </c>
    </row>
    <row r="14" spans="1:17">
      <c r="A14" s="94" t="s">
        <v>53</v>
      </c>
      <c r="B14" s="95"/>
      <c r="C14" s="142" t="s">
        <v>101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>
      <c r="A17" s="13" t="s">
        <v>55</v>
      </c>
      <c r="B17" s="57" t="s">
        <v>20</v>
      </c>
      <c r="C17" s="82" t="str">
        <f>UPPER(IF(B17="EXONERADO","EXONERADO",cMoneda2(B17,"Bolívar","Bolívares",1,"")))</f>
        <v>EXONERADO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53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37</v>
      </c>
      <c r="B21" s="86"/>
      <c r="C21" s="86"/>
      <c r="D21" s="86"/>
      <c r="E21" s="86"/>
      <c r="F21" s="86"/>
      <c r="G21" s="87"/>
      <c r="H21" s="59" t="s">
        <v>20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0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>
      <c r="A36" s="123" t="s">
        <v>62</v>
      </c>
      <c r="B36" s="124"/>
      <c r="C36" s="125"/>
      <c r="D36" s="126"/>
      <c r="E36" s="127"/>
      <c r="F36" s="117"/>
      <c r="G36" s="118"/>
      <c r="H36" s="119"/>
    </row>
    <row r="37" spans="1:8">
      <c r="A37" s="123" t="s">
        <v>63</v>
      </c>
      <c r="B37" s="128"/>
      <c r="C37" s="152"/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/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/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CUATRO MIL DOSCIENTOS CINCUENTA Y CUATRO BOLÍVARES CON SESENTA Y SIETE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102</v>
      </c>
      <c r="C8" s="81"/>
      <c r="D8" s="81"/>
      <c r="E8" s="81"/>
      <c r="F8" s="81"/>
      <c r="G8" s="81"/>
      <c r="H8" s="81"/>
    </row>
    <row r="9" spans="1:17">
      <c r="A9" s="1"/>
      <c r="B9" s="66"/>
      <c r="C9" s="66"/>
      <c r="D9" s="66"/>
      <c r="E9" s="66"/>
      <c r="F9" s="66"/>
      <c r="G9" s="66"/>
      <c r="H9" s="66"/>
    </row>
    <row r="10" spans="1:17">
      <c r="A10" s="1"/>
      <c r="B10" s="80" t="s">
        <v>98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78.75">
      <c r="A12" s="8" t="s">
        <v>49</v>
      </c>
      <c r="B12" s="9"/>
      <c r="C12" s="159" t="s">
        <v>103</v>
      </c>
      <c r="D12" s="137"/>
      <c r="E12" s="137"/>
      <c r="F12" s="138"/>
      <c r="G12" s="54" t="s">
        <v>50</v>
      </c>
      <c r="H12" s="58" t="s">
        <v>104</v>
      </c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/>
    </row>
    <row r="14" spans="1:17">
      <c r="A14" s="94" t="s">
        <v>53</v>
      </c>
      <c r="B14" s="95"/>
      <c r="C14" s="142" t="s">
        <v>105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102">
      <c r="A17" s="13" t="s">
        <v>55</v>
      </c>
      <c r="B17" s="57">
        <v>4254.67</v>
      </c>
      <c r="C17" s="82" t="str">
        <f>UPPER(IF(B17="EXONERADO","EXONERADO",cMoneda2(B17,"Bolívar","Bolívares",1,"")))</f>
        <v xml:space="preserve">CUATRO MIL DOSCIENTOS CINCUENTA Y CUATRO BOLÍVARES CON SESENTA Y SIETE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5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38</v>
      </c>
      <c r="B21" s="86"/>
      <c r="C21" s="86"/>
      <c r="D21" s="86"/>
      <c r="E21" s="86"/>
      <c r="F21" s="86"/>
      <c r="G21" s="87"/>
      <c r="H21" s="59">
        <v>2604.9</v>
      </c>
    </row>
    <row r="22" spans="1:8">
      <c r="A22" s="85" t="s">
        <v>33</v>
      </c>
      <c r="B22" s="86"/>
      <c r="C22" s="86"/>
      <c r="D22" s="86"/>
      <c r="E22" s="86"/>
      <c r="F22" s="86"/>
      <c r="G22" s="87"/>
      <c r="H22" s="22">
        <v>520.98</v>
      </c>
    </row>
    <row r="23" spans="1:8">
      <c r="A23" s="85" t="s">
        <v>22</v>
      </c>
      <c r="B23" s="86"/>
      <c r="C23" s="86"/>
      <c r="D23" s="86"/>
      <c r="E23" s="86"/>
      <c r="F23" s="86"/>
      <c r="G23" s="87"/>
      <c r="H23" s="22">
        <v>868.3</v>
      </c>
    </row>
    <row r="24" spans="1:8">
      <c r="A24" s="85" t="s">
        <v>40</v>
      </c>
      <c r="B24" s="86"/>
      <c r="C24" s="86"/>
      <c r="D24" s="86"/>
      <c r="E24" s="86"/>
      <c r="F24" s="86"/>
      <c r="G24" s="87"/>
      <c r="H24" s="22">
        <v>260.49</v>
      </c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4254.67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 ht="24.75">
      <c r="A36" s="123" t="s">
        <v>62</v>
      </c>
      <c r="B36" s="124"/>
      <c r="C36" s="125" t="s">
        <v>7</v>
      </c>
      <c r="D36" s="126"/>
      <c r="E36" s="127"/>
      <c r="F36" s="117"/>
      <c r="G36" s="118"/>
      <c r="H36" s="119"/>
    </row>
    <row r="37" spans="1:8" ht="33.75">
      <c r="A37" s="123" t="s">
        <v>63</v>
      </c>
      <c r="B37" s="128"/>
      <c r="C37" s="152" t="s">
        <v>6</v>
      </c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>
        <v>45902</v>
      </c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 t="s">
        <v>106</v>
      </c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CINCO MIL SESENTA Y CINCO BOLÍVARES CON TREINTA Y NUEVE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107</v>
      </c>
      <c r="C8" s="81"/>
      <c r="D8" s="81"/>
      <c r="E8" s="81"/>
      <c r="F8" s="81"/>
      <c r="G8" s="81"/>
      <c r="H8" s="81"/>
    </row>
    <row r="9" spans="1:17">
      <c r="A9" s="1"/>
      <c r="B9" s="66"/>
      <c r="C9" s="66"/>
      <c r="D9" s="66"/>
      <c r="E9" s="66"/>
      <c r="F9" s="66"/>
      <c r="G9" s="66"/>
      <c r="H9" s="66"/>
    </row>
    <row r="10" spans="1:17">
      <c r="A10" s="1"/>
      <c r="B10" s="80" t="s">
        <v>98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63">
      <c r="A12" s="8" t="s">
        <v>49</v>
      </c>
      <c r="B12" s="9"/>
      <c r="C12" s="159" t="s">
        <v>108</v>
      </c>
      <c r="D12" s="137"/>
      <c r="E12" s="137"/>
      <c r="F12" s="138"/>
      <c r="G12" s="54" t="s">
        <v>50</v>
      </c>
      <c r="H12" s="58"/>
    </row>
    <row r="13" spans="1:17" ht="25.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109</v>
      </c>
    </row>
    <row r="14" spans="1:17">
      <c r="A14" s="94" t="s">
        <v>53</v>
      </c>
      <c r="B14" s="95"/>
      <c r="C14" s="142" t="s">
        <v>110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79.5">
      <c r="A17" s="13" t="s">
        <v>55</v>
      </c>
      <c r="B17" s="57">
        <v>5065.3900000000003</v>
      </c>
      <c r="C17" s="82" t="str">
        <f>UPPER(IF(B17="EXONERADO","EXONERADO",cMoneda2(B17,"Bolívar","Bolívares",1,"")))</f>
        <v xml:space="preserve">CINCO MIL SESENTA Y CINCO BOLÍVARES CON TREINTA Y NUEVE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5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42</v>
      </c>
      <c r="B21" s="86"/>
      <c r="C21" s="86"/>
      <c r="D21" s="86"/>
      <c r="E21" s="86"/>
      <c r="F21" s="86"/>
      <c r="G21" s="87"/>
      <c r="H21" s="59">
        <v>3153.17</v>
      </c>
    </row>
    <row r="22" spans="1:8">
      <c r="A22" s="85" t="s">
        <v>39</v>
      </c>
      <c r="B22" s="86"/>
      <c r="C22" s="86"/>
      <c r="D22" s="86"/>
      <c r="E22" s="86"/>
      <c r="F22" s="86"/>
      <c r="G22" s="87"/>
      <c r="H22" s="22">
        <v>1662.8</v>
      </c>
    </row>
    <row r="23" spans="1:8">
      <c r="A23" s="85" t="s">
        <v>40</v>
      </c>
      <c r="B23" s="86"/>
      <c r="C23" s="86"/>
      <c r="D23" s="86"/>
      <c r="E23" s="86"/>
      <c r="F23" s="86"/>
      <c r="G23" s="87"/>
      <c r="H23" s="22">
        <v>249.42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5065.3900000000003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45898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111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MIL CIENTO SESENTA Y SEIS BOLÍVARES CON CUATRO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112</v>
      </c>
      <c r="C8" s="81"/>
      <c r="D8" s="81"/>
      <c r="E8" s="81"/>
      <c r="F8" s="81"/>
      <c r="G8" s="81"/>
      <c r="H8" s="81"/>
    </row>
    <row r="9" spans="1:17">
      <c r="A9" s="1"/>
      <c r="B9" s="66"/>
      <c r="C9" s="66"/>
      <c r="D9" s="66"/>
      <c r="E9" s="66"/>
      <c r="F9" s="66"/>
      <c r="G9" s="66"/>
      <c r="H9" s="66"/>
    </row>
    <row r="10" spans="1:17">
      <c r="A10" s="1"/>
      <c r="B10" s="80" t="s">
        <v>98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173.25">
      <c r="A12" s="8" t="s">
        <v>49</v>
      </c>
      <c r="B12" s="9"/>
      <c r="C12" s="159" t="s">
        <v>113</v>
      </c>
      <c r="D12" s="137"/>
      <c r="E12" s="137"/>
      <c r="F12" s="138"/>
      <c r="G12" s="54" t="s">
        <v>50</v>
      </c>
      <c r="H12" s="58"/>
    </row>
    <row r="13" spans="1:17" ht="51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114</v>
      </c>
    </row>
    <row r="14" spans="1:17">
      <c r="A14" s="94" t="s">
        <v>53</v>
      </c>
      <c r="B14" s="95"/>
      <c r="C14" s="142" t="s">
        <v>115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68.25">
      <c r="A17" s="13" t="s">
        <v>55</v>
      </c>
      <c r="B17" s="57">
        <v>1166.04</v>
      </c>
      <c r="C17" s="82" t="str">
        <f>UPPER(IF(B17="EXONERADO","EXONERADO",cMoneda2(B17,"Bolívar","Bolívares",1,"")))</f>
        <v xml:space="preserve">MIL CIENTO SESENTA Y SEIS BOLÍVARES CON CUATRO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5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16</v>
      </c>
      <c r="B21" s="86"/>
      <c r="C21" s="86"/>
      <c r="D21" s="86"/>
      <c r="E21" s="86"/>
      <c r="F21" s="86"/>
      <c r="G21" s="87"/>
      <c r="H21" s="59">
        <v>417.8</v>
      </c>
    </row>
    <row r="22" spans="1:8">
      <c r="A22" s="85" t="s">
        <v>40</v>
      </c>
      <c r="B22" s="86"/>
      <c r="C22" s="86"/>
      <c r="D22" s="86"/>
      <c r="E22" s="86"/>
      <c r="F22" s="86"/>
      <c r="G22" s="87"/>
      <c r="H22" s="22">
        <v>249.4</v>
      </c>
    </row>
    <row r="23" spans="1:8">
      <c r="A23" s="85" t="s">
        <v>33</v>
      </c>
      <c r="B23" s="86"/>
      <c r="C23" s="86"/>
      <c r="D23" s="86"/>
      <c r="E23" s="86"/>
      <c r="F23" s="86"/>
      <c r="G23" s="87"/>
      <c r="H23" s="22">
        <v>498.84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1166.04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45901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116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TRES MIL CUATROCIENTOS OCHENTA Y CUATRO BOLÍVARES CON CINCO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117</v>
      </c>
      <c r="C8" s="81"/>
      <c r="D8" s="81"/>
      <c r="E8" s="81"/>
      <c r="F8" s="81"/>
      <c r="G8" s="81"/>
      <c r="H8" s="81"/>
    </row>
    <row r="9" spans="1:17">
      <c r="A9" s="1"/>
      <c r="B9" s="66"/>
      <c r="C9" s="66"/>
      <c r="D9" s="66"/>
      <c r="E9" s="66"/>
      <c r="F9" s="66"/>
      <c r="G9" s="66"/>
      <c r="H9" s="66"/>
    </row>
    <row r="10" spans="1:17">
      <c r="A10" s="1"/>
      <c r="B10" s="80" t="s">
        <v>98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94.5">
      <c r="A12" s="8" t="s">
        <v>49</v>
      </c>
      <c r="B12" s="9"/>
      <c r="C12" s="159" t="s">
        <v>118</v>
      </c>
      <c r="D12" s="137"/>
      <c r="E12" s="137"/>
      <c r="F12" s="138"/>
      <c r="G12" s="54" t="s">
        <v>50</v>
      </c>
      <c r="H12" s="58"/>
    </row>
    <row r="13" spans="1:17" ht="25.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119</v>
      </c>
    </row>
    <row r="14" spans="1:17">
      <c r="A14" s="94" t="s">
        <v>53</v>
      </c>
      <c r="B14" s="95"/>
      <c r="C14" s="142" t="s">
        <v>120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90.75">
      <c r="A17" s="13" t="s">
        <v>55</v>
      </c>
      <c r="B17" s="57">
        <v>3484.05</v>
      </c>
      <c r="C17" s="82" t="str">
        <f>UPPER(IF(B17="EXONERADO","EXONERADO",cMoneda2(B17,"Bolívar","Bolívares",1,"")))</f>
        <v xml:space="preserve">TRES MIL CUATROCIENTOS OCHENTA Y CUATRO BOLÍVARES CON CINCO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5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16</v>
      </c>
      <c r="B21" s="86"/>
      <c r="C21" s="86"/>
      <c r="D21" s="86"/>
      <c r="E21" s="86"/>
      <c r="F21" s="86"/>
      <c r="G21" s="87"/>
      <c r="H21" s="59">
        <v>2702.6</v>
      </c>
    </row>
    <row r="22" spans="1:8">
      <c r="A22" s="85" t="s">
        <v>40</v>
      </c>
      <c r="B22" s="86"/>
      <c r="C22" s="86"/>
      <c r="D22" s="86"/>
      <c r="E22" s="86"/>
      <c r="F22" s="86"/>
      <c r="G22" s="87"/>
      <c r="H22" s="22">
        <v>260.47000000000003</v>
      </c>
    </row>
    <row r="23" spans="1:8">
      <c r="A23" s="85" t="s">
        <v>33</v>
      </c>
      <c r="B23" s="86"/>
      <c r="C23" s="86"/>
      <c r="D23" s="86"/>
      <c r="E23" s="86"/>
      <c r="F23" s="86"/>
      <c r="G23" s="87"/>
      <c r="H23" s="22">
        <v>520.98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3484.0499999999997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45901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121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MIL TRESCIENTOS SETENTA Y UN BOLÍVARES CON OCHENTA Y UN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122</v>
      </c>
      <c r="C8" s="81"/>
      <c r="D8" s="81"/>
      <c r="E8" s="81"/>
      <c r="F8" s="81"/>
      <c r="G8" s="81"/>
      <c r="H8" s="81"/>
    </row>
    <row r="9" spans="1:17">
      <c r="A9" s="1"/>
      <c r="B9" s="66"/>
      <c r="C9" s="66"/>
      <c r="D9" s="66"/>
      <c r="E9" s="66"/>
      <c r="F9" s="66"/>
      <c r="G9" s="66"/>
      <c r="H9" s="66"/>
    </row>
    <row r="10" spans="1:17">
      <c r="A10" s="1"/>
      <c r="B10" s="80" t="s">
        <v>98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47.25">
      <c r="A12" s="8" t="s">
        <v>49</v>
      </c>
      <c r="B12" s="9"/>
      <c r="C12" s="159" t="s">
        <v>123</v>
      </c>
      <c r="D12" s="137"/>
      <c r="E12" s="137"/>
      <c r="F12" s="138"/>
      <c r="G12" s="54" t="s">
        <v>50</v>
      </c>
      <c r="H12" s="58"/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124</v>
      </c>
    </row>
    <row r="14" spans="1:17">
      <c r="A14" s="94" t="s">
        <v>53</v>
      </c>
      <c r="B14" s="95"/>
      <c r="C14" s="142" t="s">
        <v>125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90.75">
      <c r="A17" s="13" t="s">
        <v>55</v>
      </c>
      <c r="B17" s="57">
        <v>1371.81</v>
      </c>
      <c r="C17" s="82" t="str">
        <f>UPPER(IF(B17="EXONERADO","EXONERADO",cMoneda2(B17,"Bolívar","Bolívares",1,"")))</f>
        <v xml:space="preserve">MIL TRESCIENTOS SETENTA Y UN BOLÍVARES CON OCHENTA Y UN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5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16</v>
      </c>
      <c r="B21" s="86"/>
      <c r="C21" s="86"/>
      <c r="D21" s="86"/>
      <c r="E21" s="86"/>
      <c r="F21" s="86"/>
      <c r="G21" s="87"/>
      <c r="H21" s="59">
        <v>1215.5</v>
      </c>
    </row>
    <row r="22" spans="1:8">
      <c r="A22" s="85" t="s">
        <v>40</v>
      </c>
      <c r="B22" s="86"/>
      <c r="C22" s="86"/>
      <c r="D22" s="86"/>
      <c r="E22" s="86"/>
      <c r="F22" s="86"/>
      <c r="G22" s="87"/>
      <c r="H22" s="22">
        <v>52.11</v>
      </c>
    </row>
    <row r="23" spans="1:8">
      <c r="A23" s="85" t="s">
        <v>33</v>
      </c>
      <c r="B23" s="86"/>
      <c r="C23" s="86"/>
      <c r="D23" s="86"/>
      <c r="E23" s="86"/>
      <c r="F23" s="86"/>
      <c r="G23" s="87"/>
      <c r="H23" s="22">
        <v>104.2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1371.81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45897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126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SEISCIENTOS NOVENTA MIL CIENTO NOVENTA Y CUATRO BOLÍVARES CON TREINTA Y OCHO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127</v>
      </c>
      <c r="C8" s="81"/>
      <c r="D8" s="81"/>
      <c r="E8" s="81"/>
      <c r="F8" s="81"/>
      <c r="G8" s="81"/>
      <c r="H8" s="81"/>
    </row>
    <row r="9" spans="1:17">
      <c r="A9" s="1"/>
      <c r="B9" s="67"/>
      <c r="C9" s="67"/>
      <c r="D9" s="67"/>
      <c r="E9" s="67"/>
      <c r="F9" s="67"/>
      <c r="G9" s="67"/>
      <c r="H9" s="67"/>
    </row>
    <row r="10" spans="1:17">
      <c r="A10" s="1"/>
      <c r="B10" s="80" t="s">
        <v>128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47.25">
      <c r="A12" s="8" t="s">
        <v>49</v>
      </c>
      <c r="B12" s="9"/>
      <c r="C12" s="160" t="s">
        <v>129</v>
      </c>
      <c r="D12" s="161"/>
      <c r="E12" s="161"/>
      <c r="F12" s="161"/>
      <c r="G12" s="71" t="s">
        <v>50</v>
      </c>
      <c r="H12" s="72" t="s">
        <v>130</v>
      </c>
    </row>
    <row r="13" spans="1:17" ht="15.75">
      <c r="A13" s="10" t="s">
        <v>51</v>
      </c>
      <c r="B13" s="11"/>
      <c r="C13" s="162"/>
      <c r="D13" s="162"/>
      <c r="E13" s="162"/>
      <c r="F13" s="162"/>
      <c r="G13" s="73" t="s">
        <v>52</v>
      </c>
      <c r="H13" s="74"/>
    </row>
    <row r="14" spans="1:17">
      <c r="A14" s="94" t="s">
        <v>53</v>
      </c>
      <c r="B14" s="95"/>
      <c r="C14" s="142" t="s">
        <v>131</v>
      </c>
      <c r="D14" s="96"/>
      <c r="E14" s="96"/>
      <c r="F14" s="96"/>
      <c r="G14" s="96"/>
      <c r="H14" s="97"/>
    </row>
    <row r="15" spans="1:17">
      <c r="A15" s="75" t="s">
        <v>54</v>
      </c>
      <c r="B15" s="76"/>
      <c r="C15" s="98"/>
      <c r="D15" s="99"/>
      <c r="E15" s="99"/>
      <c r="F15" s="99"/>
      <c r="G15" s="99"/>
      <c r="H15" s="100"/>
    </row>
    <row r="16" spans="1:17">
      <c r="A16" s="77"/>
      <c r="B16" s="78"/>
      <c r="C16" s="101"/>
      <c r="D16" s="102"/>
      <c r="E16" s="102"/>
      <c r="F16" s="102"/>
      <c r="G16" s="102"/>
      <c r="H16" s="103"/>
    </row>
    <row r="17" spans="1:8" ht="102">
      <c r="A17" s="13" t="s">
        <v>55</v>
      </c>
      <c r="B17" s="57">
        <v>690194.38</v>
      </c>
      <c r="C17" s="82" t="str">
        <f>UPPER(IF(B17="EXONERADO","EXONERADO",cMoneda2(B17,"Bolívar","Bolívares",1,"")))</f>
        <v xml:space="preserve">SEISCIENTOS NOVENTA MIL CIENTO NOVENTA Y CUATRO BOLÍVARES CON TREINTA Y OCHO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8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45</v>
      </c>
      <c r="B21" s="86"/>
      <c r="C21" s="86"/>
      <c r="D21" s="86"/>
      <c r="E21" s="86"/>
      <c r="F21" s="86"/>
      <c r="G21" s="87"/>
      <c r="H21" s="59">
        <v>690194.38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690194.38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36.75">
      <c r="A35" s="123" t="s">
        <v>62</v>
      </c>
      <c r="B35" s="124"/>
      <c r="C35" s="125" t="s">
        <v>14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17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45904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132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VEINTICINCO MIL BOLÍVARES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133</v>
      </c>
      <c r="C8" s="81"/>
      <c r="D8" s="81"/>
      <c r="E8" s="81"/>
      <c r="F8" s="81"/>
      <c r="G8" s="81"/>
      <c r="H8" s="81"/>
    </row>
    <row r="9" spans="1:17">
      <c r="A9" s="1"/>
      <c r="B9" s="67"/>
      <c r="C9" s="67"/>
      <c r="D9" s="67"/>
      <c r="E9" s="67"/>
      <c r="F9" s="67"/>
      <c r="G9" s="67"/>
      <c r="H9" s="67"/>
    </row>
    <row r="10" spans="1:17">
      <c r="A10" s="1"/>
      <c r="B10" s="80" t="s">
        <v>128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126">
      <c r="A12" s="8" t="s">
        <v>49</v>
      </c>
      <c r="B12" s="9"/>
      <c r="C12" s="159" t="s">
        <v>134</v>
      </c>
      <c r="D12" s="137"/>
      <c r="E12" s="137"/>
      <c r="F12" s="138"/>
      <c r="G12" s="54" t="s">
        <v>50</v>
      </c>
      <c r="H12" s="58"/>
    </row>
    <row r="13" spans="1:17" ht="38.2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135</v>
      </c>
    </row>
    <row r="14" spans="1:17">
      <c r="A14" s="94" t="s">
        <v>53</v>
      </c>
      <c r="B14" s="95"/>
      <c r="C14" s="142" t="s">
        <v>137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57">
      <c r="A17" s="13" t="s">
        <v>55</v>
      </c>
      <c r="B17" s="57">
        <v>25000</v>
      </c>
      <c r="C17" s="82" t="s">
        <v>138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8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42</v>
      </c>
      <c r="B21" s="86"/>
      <c r="C21" s="86"/>
      <c r="D21" s="86"/>
      <c r="E21" s="86"/>
      <c r="F21" s="86"/>
      <c r="G21" s="87"/>
      <c r="H21" s="59">
        <v>23002.91</v>
      </c>
    </row>
    <row r="22" spans="1:8">
      <c r="A22" s="85" t="s">
        <v>39</v>
      </c>
      <c r="B22" s="86"/>
      <c r="C22" s="86"/>
      <c r="D22" s="86"/>
      <c r="E22" s="86"/>
      <c r="F22" s="86"/>
      <c r="G22" s="87"/>
      <c r="H22" s="22">
        <v>1736.6</v>
      </c>
    </row>
    <row r="23" spans="1:8">
      <c r="A23" s="85" t="s">
        <v>40</v>
      </c>
      <c r="B23" s="86"/>
      <c r="C23" s="86"/>
      <c r="D23" s="86"/>
      <c r="E23" s="86"/>
      <c r="F23" s="86"/>
      <c r="G23" s="87"/>
      <c r="H23" s="22">
        <v>260.49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25000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45904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136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DIEZ MIL BOLÍVARES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139</v>
      </c>
      <c r="C8" s="81"/>
      <c r="D8" s="81"/>
      <c r="E8" s="81"/>
      <c r="F8" s="81"/>
      <c r="G8" s="81"/>
      <c r="H8" s="81"/>
    </row>
    <row r="9" spans="1:17">
      <c r="A9" s="1"/>
      <c r="B9" s="67"/>
      <c r="C9" s="67"/>
      <c r="D9" s="67"/>
      <c r="E9" s="67"/>
      <c r="F9" s="67"/>
      <c r="G9" s="67"/>
      <c r="H9" s="67"/>
    </row>
    <row r="10" spans="1:17">
      <c r="A10" s="1"/>
      <c r="B10" s="80" t="s">
        <v>128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78.75">
      <c r="A12" s="8" t="s">
        <v>49</v>
      </c>
      <c r="B12" s="9"/>
      <c r="C12" s="159" t="s">
        <v>140</v>
      </c>
      <c r="D12" s="137"/>
      <c r="E12" s="137"/>
      <c r="F12" s="138"/>
      <c r="G12" s="54" t="s">
        <v>50</v>
      </c>
      <c r="H12" s="58"/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 t="s">
        <v>141</v>
      </c>
    </row>
    <row r="14" spans="1:17">
      <c r="A14" s="94" t="s">
        <v>53</v>
      </c>
      <c r="B14" s="95"/>
      <c r="C14" s="142" t="s">
        <v>144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45.75">
      <c r="A17" s="13" t="s">
        <v>55</v>
      </c>
      <c r="B17" s="57">
        <v>10000</v>
      </c>
      <c r="C17" s="82" t="s">
        <v>142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8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42</v>
      </c>
      <c r="B21" s="86"/>
      <c r="C21" s="86"/>
      <c r="D21" s="86"/>
      <c r="E21" s="86"/>
      <c r="F21" s="86"/>
      <c r="G21" s="87"/>
      <c r="H21" s="59">
        <v>8002.91</v>
      </c>
    </row>
    <row r="22" spans="1:8">
      <c r="A22" s="85" t="s">
        <v>39</v>
      </c>
      <c r="B22" s="86"/>
      <c r="C22" s="86"/>
      <c r="D22" s="86"/>
      <c r="E22" s="86"/>
      <c r="F22" s="86"/>
      <c r="G22" s="87"/>
      <c r="H22" s="22">
        <v>1736.6</v>
      </c>
    </row>
    <row r="23" spans="1:8">
      <c r="A23" s="85" t="s">
        <v>40</v>
      </c>
      <c r="B23" s="86"/>
      <c r="C23" s="86"/>
      <c r="D23" s="86"/>
      <c r="E23" s="86"/>
      <c r="F23" s="86"/>
      <c r="G23" s="87"/>
      <c r="H23" s="22">
        <v>260.49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10000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45905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143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1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CUATRO MIL DOSCIENTOS CINCUENTA Y CUATRO BOLÍVARES CON SESENTA Y SIETE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145</v>
      </c>
      <c r="C8" s="81"/>
      <c r="D8" s="81"/>
      <c r="E8" s="81"/>
      <c r="F8" s="81"/>
      <c r="G8" s="81"/>
      <c r="H8" s="81"/>
    </row>
    <row r="9" spans="1:17">
      <c r="A9" s="1"/>
      <c r="B9" s="67"/>
      <c r="C9" s="67"/>
      <c r="D9" s="67"/>
      <c r="E9" s="67"/>
      <c r="F9" s="67"/>
      <c r="G9" s="67"/>
      <c r="H9" s="67"/>
    </row>
    <row r="10" spans="1:17">
      <c r="A10" s="1"/>
      <c r="B10" s="80" t="s">
        <v>128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173.25">
      <c r="A12" s="8" t="s">
        <v>49</v>
      </c>
      <c r="B12" s="9"/>
      <c r="C12" s="159" t="s">
        <v>152</v>
      </c>
      <c r="D12" s="137"/>
      <c r="E12" s="137"/>
      <c r="F12" s="138"/>
      <c r="G12" s="54" t="s">
        <v>50</v>
      </c>
      <c r="H12" s="58" t="s">
        <v>153</v>
      </c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/>
    </row>
    <row r="14" spans="1:17">
      <c r="A14" s="94" t="s">
        <v>53</v>
      </c>
      <c r="B14" s="95"/>
      <c r="C14" s="142" t="s">
        <v>105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102">
      <c r="A17" s="13" t="s">
        <v>55</v>
      </c>
      <c r="B17" s="57">
        <v>4254.67</v>
      </c>
      <c r="C17" s="82" t="str">
        <f>UPPER(IF(B17="EXONERADO","EXONERADO",cMoneda2(B17,"Bolívar","Bolívares",1,"")))</f>
        <v xml:space="preserve">CUATRO MIL DOSCIENTOS CINCUENTA Y CUATRO BOLÍVARES CON SESENTA Y SIETE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8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38</v>
      </c>
      <c r="B21" s="86"/>
      <c r="C21" s="86"/>
      <c r="D21" s="86"/>
      <c r="E21" s="86"/>
      <c r="F21" s="86"/>
      <c r="G21" s="87"/>
      <c r="H21" s="59">
        <v>2604.9</v>
      </c>
    </row>
    <row r="22" spans="1:8">
      <c r="A22" s="85" t="s">
        <v>33</v>
      </c>
      <c r="B22" s="86"/>
      <c r="C22" s="86"/>
      <c r="D22" s="86"/>
      <c r="E22" s="86"/>
      <c r="F22" s="86"/>
      <c r="G22" s="87"/>
      <c r="H22" s="22">
        <v>520.98</v>
      </c>
    </row>
    <row r="23" spans="1:8">
      <c r="A23" s="85" t="s">
        <v>22</v>
      </c>
      <c r="B23" s="86"/>
      <c r="C23" s="86"/>
      <c r="D23" s="86"/>
      <c r="E23" s="86"/>
      <c r="F23" s="86"/>
      <c r="G23" s="87"/>
      <c r="H23" s="22">
        <v>868.3</v>
      </c>
    </row>
    <row r="24" spans="1:8">
      <c r="A24" s="85" t="s">
        <v>40</v>
      </c>
      <c r="B24" s="86"/>
      <c r="C24" s="86"/>
      <c r="D24" s="86"/>
      <c r="E24" s="86"/>
      <c r="F24" s="86"/>
      <c r="G24" s="87"/>
      <c r="H24" s="22">
        <v>260.49</v>
      </c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4254.67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 ht="24.75">
      <c r="A36" s="123" t="s">
        <v>62</v>
      </c>
      <c r="B36" s="124"/>
      <c r="C36" s="125" t="s">
        <v>7</v>
      </c>
      <c r="D36" s="126"/>
      <c r="E36" s="127"/>
      <c r="F36" s="117"/>
      <c r="G36" s="118"/>
      <c r="H36" s="119"/>
    </row>
    <row r="37" spans="1:8" ht="33.75">
      <c r="A37" s="123" t="s">
        <v>63</v>
      </c>
      <c r="B37" s="128"/>
      <c r="C37" s="152" t="s">
        <v>6</v>
      </c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>
        <v>45905</v>
      </c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 t="s">
        <v>146</v>
      </c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0"/>
  <sheetViews>
    <sheetView workbookViewId="0"/>
  </sheetViews>
  <sheetFormatPr baseColWidth="10" defaultRowHeight="15"/>
  <sheetData>
    <row r="1" spans="1:17">
      <c r="A1" s="1"/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 xml:space="preserve">CINCO MIL SETECIENTOS CUARENTA Y DOS BOLÍVARES CON CINCUENTA CÉNTIMOS 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147</v>
      </c>
      <c r="C8" s="81"/>
      <c r="D8" s="81"/>
      <c r="E8" s="81"/>
      <c r="F8" s="81"/>
      <c r="G8" s="81"/>
      <c r="H8" s="81"/>
    </row>
    <row r="9" spans="1:17">
      <c r="A9" s="1"/>
      <c r="B9" s="67"/>
      <c r="C9" s="67"/>
      <c r="D9" s="67"/>
      <c r="E9" s="67"/>
      <c r="F9" s="67"/>
      <c r="G9" s="67"/>
      <c r="H9" s="67"/>
    </row>
    <row r="10" spans="1:17">
      <c r="A10" s="1"/>
      <c r="B10" s="80" t="s">
        <v>128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78.75">
      <c r="A12" s="8" t="s">
        <v>49</v>
      </c>
      <c r="B12" s="9"/>
      <c r="C12" s="159" t="s">
        <v>148</v>
      </c>
      <c r="D12" s="137"/>
      <c r="E12" s="137"/>
      <c r="F12" s="138"/>
      <c r="G12" s="54" t="s">
        <v>50</v>
      </c>
      <c r="H12" s="58" t="s">
        <v>149</v>
      </c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64"/>
    </row>
    <row r="14" spans="1:17">
      <c r="A14" s="94" t="s">
        <v>53</v>
      </c>
      <c r="B14" s="95"/>
      <c r="C14" s="142" t="s">
        <v>150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 ht="90.75">
      <c r="A17" s="13" t="s">
        <v>55</v>
      </c>
      <c r="B17" s="57">
        <v>5742.5</v>
      </c>
      <c r="C17" s="82" t="str">
        <f>UPPER(IF(B17="EXONERADO","EXONERADO",cMoneda2(B17,"Bolívar","Bolívares",1,"")))</f>
        <v xml:space="preserve">CINCO MIL SETECIENTOS CUARENTA Y DOS BOLÍVARES CON CINCUENTA CÉNTIMOS 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8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16</v>
      </c>
      <c r="B21" s="86"/>
      <c r="C21" s="86"/>
      <c r="D21" s="86"/>
      <c r="E21" s="86"/>
      <c r="F21" s="86"/>
      <c r="G21" s="87"/>
      <c r="H21" s="59">
        <v>4961</v>
      </c>
    </row>
    <row r="22" spans="1:8">
      <c r="A22" s="85" t="s">
        <v>40</v>
      </c>
      <c r="B22" s="86"/>
      <c r="C22" s="86"/>
      <c r="D22" s="86"/>
      <c r="E22" s="86"/>
      <c r="F22" s="86"/>
      <c r="G22" s="87"/>
      <c r="H22" s="22">
        <v>260.52</v>
      </c>
    </row>
    <row r="23" spans="1:8">
      <c r="A23" s="85" t="s">
        <v>33</v>
      </c>
      <c r="B23" s="86"/>
      <c r="C23" s="86"/>
      <c r="D23" s="86"/>
      <c r="E23" s="86"/>
      <c r="F23" s="86"/>
      <c r="G23" s="87"/>
      <c r="H23" s="22">
        <v>520.98</v>
      </c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3"/>
    </row>
    <row r="26" spans="1:8">
      <c r="A26" s="85"/>
      <c r="B26" s="86"/>
      <c r="C26" s="86"/>
      <c r="D26" s="86"/>
      <c r="E26" s="86"/>
      <c r="F26" s="86"/>
      <c r="G26" s="87"/>
      <c r="H26" s="24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104"/>
      <c r="B28" s="105"/>
      <c r="C28" s="105"/>
      <c r="D28" s="105"/>
      <c r="E28" s="105"/>
      <c r="F28" s="105"/>
      <c r="G28" s="106"/>
      <c r="H28" s="24"/>
    </row>
    <row r="29" spans="1:8">
      <c r="A29" s="25"/>
      <c r="B29" s="107" t="s">
        <v>59</v>
      </c>
      <c r="C29" s="107"/>
      <c r="D29" s="107"/>
      <c r="E29" s="107"/>
      <c r="F29" s="107"/>
      <c r="G29" s="108"/>
      <c r="H29" s="26">
        <f>SUM(H21:H28)</f>
        <v>5742.5</v>
      </c>
    </row>
    <row r="30" spans="1:8">
      <c r="A30" s="16"/>
      <c r="B30" s="109"/>
      <c r="C30" s="109"/>
      <c r="D30" s="19"/>
      <c r="E30" s="18"/>
      <c r="F30" s="89"/>
      <c r="G30" s="89"/>
      <c r="H30" s="19"/>
    </row>
    <row r="31" spans="1:8">
      <c r="A31" s="27"/>
      <c r="B31" s="110"/>
      <c r="C31" s="110"/>
      <c r="D31" s="28"/>
      <c r="E31" s="18"/>
      <c r="F31" s="110"/>
      <c r="G31" s="110"/>
      <c r="H31" s="19"/>
    </row>
    <row r="32" spans="1:8">
      <c r="A32" s="27"/>
      <c r="B32" s="111"/>
      <c r="C32" s="111"/>
      <c r="D32" s="111"/>
      <c r="E32" s="111"/>
      <c r="F32" s="111"/>
      <c r="G32" s="111"/>
      <c r="H32" s="29"/>
    </row>
    <row r="33" spans="1:8">
      <c r="A33" s="27"/>
      <c r="B33" s="27"/>
      <c r="C33" s="27"/>
      <c r="D33" s="27"/>
      <c r="E33" s="30"/>
      <c r="F33" s="27"/>
      <c r="G33" s="27"/>
      <c r="H33" s="27"/>
    </row>
    <row r="34" spans="1:8">
      <c r="A34" s="112" t="s">
        <v>60</v>
      </c>
      <c r="B34" s="113"/>
      <c r="C34" s="113"/>
      <c r="D34" s="113"/>
      <c r="E34" s="113"/>
      <c r="F34" s="114" t="s">
        <v>61</v>
      </c>
      <c r="G34" s="115"/>
      <c r="H34" s="116"/>
    </row>
    <row r="35" spans="1:8" ht="24.75">
      <c r="A35" s="123" t="s">
        <v>62</v>
      </c>
      <c r="B35" s="124"/>
      <c r="C35" s="125" t="s">
        <v>7</v>
      </c>
      <c r="D35" s="126"/>
      <c r="E35" s="127"/>
      <c r="F35" s="117"/>
      <c r="G35" s="118"/>
      <c r="H35" s="119"/>
    </row>
    <row r="36" spans="1:8" ht="33.75">
      <c r="A36" s="123" t="s">
        <v>63</v>
      </c>
      <c r="B36" s="128"/>
      <c r="C36" s="152" t="s">
        <v>6</v>
      </c>
      <c r="D36" s="153"/>
      <c r="E36" s="154"/>
      <c r="F36" s="117"/>
      <c r="G36" s="118"/>
      <c r="H36" s="119"/>
    </row>
    <row r="37" spans="1:8" ht="25.5">
      <c r="A37" s="129" t="s">
        <v>64</v>
      </c>
      <c r="B37" s="130"/>
      <c r="C37" s="155" t="s">
        <v>65</v>
      </c>
      <c r="D37" s="156"/>
      <c r="E37" s="157"/>
      <c r="F37" s="117"/>
      <c r="G37" s="118"/>
      <c r="H37" s="119"/>
    </row>
    <row r="38" spans="1:8">
      <c r="A38" s="123" t="s">
        <v>66</v>
      </c>
      <c r="B38" s="124"/>
      <c r="C38" s="158">
        <v>45905</v>
      </c>
      <c r="D38" s="158"/>
      <c r="E38" s="158"/>
      <c r="F38" s="117"/>
      <c r="G38" s="118"/>
      <c r="H38" s="119"/>
    </row>
    <row r="39" spans="1:8">
      <c r="A39" s="123" t="s">
        <v>67</v>
      </c>
      <c r="B39" s="124"/>
      <c r="C39" s="131" t="s">
        <v>151</v>
      </c>
      <c r="D39" s="151"/>
      <c r="E39" s="151"/>
      <c r="F39" s="117"/>
      <c r="G39" s="118"/>
      <c r="H39" s="119"/>
    </row>
    <row r="40" spans="1:8" ht="25.5">
      <c r="A40" s="132" t="s">
        <v>68</v>
      </c>
      <c r="B40" s="133"/>
      <c r="C40" s="134" t="s">
        <v>81</v>
      </c>
      <c r="D40" s="135"/>
      <c r="E40" s="135"/>
      <c r="F40" s="120"/>
      <c r="G40" s="121"/>
      <c r="H40" s="12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2"/>
  <sheetViews>
    <sheetView workbookViewId="0"/>
  </sheetViews>
  <sheetFormatPr baseColWidth="10" defaultRowHeight="15"/>
  <sheetData>
    <row r="1" spans="1:17">
      <c r="A1" s="1" t="s">
        <v>160</v>
      </c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>EXONERADO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154</v>
      </c>
      <c r="C8" s="81"/>
      <c r="D8" s="81"/>
      <c r="E8" s="81"/>
      <c r="F8" s="81"/>
      <c r="G8" s="81"/>
      <c r="H8" s="81"/>
    </row>
    <row r="9" spans="1:17">
      <c r="A9" s="1"/>
      <c r="B9" s="70"/>
      <c r="C9" s="70"/>
      <c r="D9" s="70"/>
      <c r="E9" s="70"/>
      <c r="F9" s="70"/>
      <c r="G9" s="70"/>
      <c r="H9" s="70"/>
    </row>
    <row r="10" spans="1:17">
      <c r="A10" s="1"/>
      <c r="B10" s="81" t="s">
        <v>155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94.5">
      <c r="A12" s="8" t="s">
        <v>49</v>
      </c>
      <c r="B12" s="9"/>
      <c r="C12" s="159" t="s">
        <v>156</v>
      </c>
      <c r="D12" s="137"/>
      <c r="E12" s="137"/>
      <c r="F12" s="138"/>
      <c r="G12" s="54" t="s">
        <v>50</v>
      </c>
      <c r="H12" s="58"/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55" t="s">
        <v>157</v>
      </c>
    </row>
    <row r="14" spans="1:17">
      <c r="A14" s="94" t="s">
        <v>53</v>
      </c>
      <c r="B14" s="95"/>
      <c r="C14" s="142" t="s">
        <v>158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>
      <c r="A17" s="13" t="s">
        <v>55</v>
      </c>
      <c r="B17" s="57" t="s">
        <v>20</v>
      </c>
      <c r="C17" s="82" t="str">
        <f>UPPER(IF(B17="EXONERADO","EXONERADO",cMoneda2(B17,"Bolívar","Bolívares",1,"")))</f>
        <v>EXONERADO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9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37</v>
      </c>
      <c r="B21" s="86"/>
      <c r="C21" s="86"/>
      <c r="D21" s="86"/>
      <c r="E21" s="86"/>
      <c r="F21" s="86"/>
      <c r="G21" s="87"/>
      <c r="H21" s="59" t="s">
        <v>20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0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>
      <c r="A36" s="123" t="s">
        <v>62</v>
      </c>
      <c r="B36" s="124"/>
      <c r="C36" s="125"/>
      <c r="D36" s="126"/>
      <c r="E36" s="127"/>
      <c r="F36" s="117"/>
      <c r="G36" s="118"/>
      <c r="H36" s="119"/>
    </row>
    <row r="37" spans="1:8">
      <c r="A37" s="123" t="s">
        <v>63</v>
      </c>
      <c r="B37" s="128"/>
      <c r="C37" s="152"/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/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/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  <row r="42" spans="1:8">
      <c r="H42" t="s">
        <v>159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2"/>
  <sheetViews>
    <sheetView tabSelected="1" workbookViewId="0"/>
  </sheetViews>
  <sheetFormatPr baseColWidth="10" defaultRowHeight="15"/>
  <sheetData>
    <row r="1" spans="1:17">
      <c r="A1" s="1" t="s">
        <v>160</v>
      </c>
      <c r="B1" s="1"/>
      <c r="C1" s="1"/>
      <c r="D1" s="1"/>
      <c r="E1" s="1"/>
      <c r="F1" s="1"/>
      <c r="G1" s="1"/>
      <c r="H1" s="1"/>
    </row>
    <row r="2" spans="1:17">
      <c r="A2" s="1"/>
      <c r="B2" s="1"/>
      <c r="C2" s="1"/>
      <c r="D2" s="1"/>
      <c r="E2" s="1"/>
      <c r="F2" s="1"/>
      <c r="G2" s="1"/>
      <c r="H2" s="1"/>
    </row>
    <row r="3" spans="1:17">
      <c r="A3" s="1"/>
      <c r="B3" s="1"/>
      <c r="C3" s="2"/>
      <c r="D3" s="79"/>
      <c r="E3" s="79"/>
      <c r="F3" s="79"/>
      <c r="G3" s="2"/>
      <c r="H3" s="2"/>
    </row>
    <row r="4" spans="1:17">
      <c r="A4" s="1"/>
      <c r="B4" s="1"/>
      <c r="C4" s="4"/>
      <c r="D4" s="4"/>
      <c r="E4" s="5"/>
      <c r="F4" s="4"/>
      <c r="G4" s="4"/>
      <c r="H4" s="4"/>
    </row>
    <row r="5" spans="1:17">
      <c r="A5" s="1"/>
      <c r="B5" s="1"/>
      <c r="C5" s="1"/>
      <c r="D5" s="1"/>
      <c r="E5" s="6"/>
      <c r="F5" s="1"/>
      <c r="G5" s="1"/>
      <c r="H5" s="1"/>
    </row>
    <row r="6" spans="1:17">
      <c r="A6" s="1"/>
      <c r="B6" s="1"/>
      <c r="C6" s="1"/>
      <c r="D6" s="1"/>
      <c r="E6" s="6"/>
      <c r="F6" s="1"/>
      <c r="G6" s="1"/>
      <c r="H6" s="1"/>
      <c r="L6" t="str">
        <f>UPPER(IF(B17="EXONERADO","EXONERADO",cMoneda2(B17,"Bolívar","Bolívares",1,"")))</f>
        <v>EXONERADO</v>
      </c>
    </row>
    <row r="7" spans="1:17">
      <c r="A7" s="1"/>
      <c r="B7" s="1"/>
      <c r="C7" s="1"/>
      <c r="D7" s="1"/>
      <c r="E7" s="6"/>
      <c r="F7" s="1"/>
      <c r="G7" s="1"/>
      <c r="H7" s="1"/>
    </row>
    <row r="8" spans="1:17">
      <c r="A8" s="1"/>
      <c r="B8" s="80" t="s">
        <v>161</v>
      </c>
      <c r="C8" s="81"/>
      <c r="D8" s="81"/>
      <c r="E8" s="81"/>
      <c r="F8" s="81"/>
      <c r="G8" s="81"/>
      <c r="H8" s="81"/>
    </row>
    <row r="9" spans="1:17">
      <c r="A9" s="1"/>
      <c r="B9" s="70"/>
      <c r="C9" s="70"/>
      <c r="D9" s="70"/>
      <c r="E9" s="70"/>
      <c r="F9" s="70"/>
      <c r="G9" s="70"/>
      <c r="H9" s="70"/>
    </row>
    <row r="10" spans="1:17">
      <c r="A10" s="1"/>
      <c r="B10" s="81" t="s">
        <v>155</v>
      </c>
      <c r="C10" s="81"/>
      <c r="D10" s="81"/>
      <c r="E10" s="81"/>
      <c r="F10" s="81"/>
      <c r="G10" s="81"/>
      <c r="H10" s="81"/>
    </row>
    <row r="11" spans="1:17" ht="68.25">
      <c r="A11" s="1"/>
      <c r="B11" s="7"/>
      <c r="C11" s="7"/>
      <c r="D11" s="7"/>
      <c r="E11" s="7"/>
      <c r="F11" s="7"/>
      <c r="G11" s="7"/>
      <c r="H11" s="7"/>
      <c r="K11" s="14">
        <v>9758000</v>
      </c>
      <c r="L11" s="82" t="str">
        <f>UPPER(IF(K11="EXONERADO","EXONERADO",cMoneda2(K11,"Bolívar","Bolívares",1,"")))</f>
        <v xml:space="preserve">NUEVE MILLONES SETECIENTOS CINCUENTA Y OCHO MIL BOLÍVARES </v>
      </c>
      <c r="M11" s="83"/>
      <c r="N11" s="83"/>
      <c r="O11" s="83"/>
      <c r="P11" s="83"/>
      <c r="Q11" s="84"/>
    </row>
    <row r="12" spans="1:17" ht="94.5">
      <c r="A12" s="8" t="s">
        <v>49</v>
      </c>
      <c r="B12" s="9"/>
      <c r="C12" s="159" t="s">
        <v>162</v>
      </c>
      <c r="D12" s="137"/>
      <c r="E12" s="137"/>
      <c r="F12" s="138"/>
      <c r="G12" s="54" t="s">
        <v>50</v>
      </c>
      <c r="H12" s="58"/>
    </row>
    <row r="13" spans="1:17" ht="15.75">
      <c r="A13" s="10" t="s">
        <v>51</v>
      </c>
      <c r="B13" s="11"/>
      <c r="C13" s="139"/>
      <c r="D13" s="140"/>
      <c r="E13" s="140"/>
      <c r="F13" s="141"/>
      <c r="G13" s="12" t="s">
        <v>52</v>
      </c>
      <c r="H13" s="55" t="s">
        <v>163</v>
      </c>
    </row>
    <row r="14" spans="1:17">
      <c r="A14" s="94" t="s">
        <v>53</v>
      </c>
      <c r="B14" s="95"/>
      <c r="C14" s="142" t="s">
        <v>164</v>
      </c>
      <c r="D14" s="143"/>
      <c r="E14" s="143"/>
      <c r="F14" s="143"/>
      <c r="G14" s="143"/>
      <c r="H14" s="144"/>
    </row>
    <row r="15" spans="1:17">
      <c r="A15" s="75" t="s">
        <v>54</v>
      </c>
      <c r="B15" s="76"/>
      <c r="C15" s="145"/>
      <c r="D15" s="146"/>
      <c r="E15" s="146"/>
      <c r="F15" s="146"/>
      <c r="G15" s="146"/>
      <c r="H15" s="147"/>
    </row>
    <row r="16" spans="1:17">
      <c r="A16" s="77"/>
      <c r="B16" s="78"/>
      <c r="C16" s="148"/>
      <c r="D16" s="149"/>
      <c r="E16" s="149"/>
      <c r="F16" s="149"/>
      <c r="G16" s="149"/>
      <c r="H16" s="150"/>
    </row>
    <row r="17" spans="1:8">
      <c r="A17" s="13" t="s">
        <v>55</v>
      </c>
      <c r="B17" s="57" t="s">
        <v>20</v>
      </c>
      <c r="C17" s="82" t="str">
        <f>UPPER(IF(B17="EXONERADO","EXONERADO",cMoneda2(B17,"Bolívar","Bolívares",1,"")))</f>
        <v>EXONERADO</v>
      </c>
      <c r="D17" s="83"/>
      <c r="E17" s="83"/>
      <c r="F17" s="83"/>
      <c r="G17" s="83"/>
      <c r="H17" s="84"/>
    </row>
    <row r="18" spans="1:8">
      <c r="A18" s="1"/>
      <c r="B18" s="7"/>
      <c r="C18" s="7"/>
      <c r="D18" s="7"/>
      <c r="E18" s="15"/>
      <c r="F18" s="7"/>
      <c r="G18" s="7"/>
      <c r="H18" s="7"/>
    </row>
    <row r="19" spans="1:8">
      <c r="A19" s="16"/>
      <c r="B19" s="88"/>
      <c r="C19" s="88"/>
      <c r="D19" s="17"/>
      <c r="E19" s="18"/>
      <c r="F19" s="89"/>
      <c r="G19" s="89"/>
      <c r="H19" s="19"/>
    </row>
    <row r="20" spans="1:8" ht="25.5">
      <c r="A20" s="69" t="s">
        <v>56</v>
      </c>
      <c r="B20" s="90" t="s">
        <v>57</v>
      </c>
      <c r="C20" s="90"/>
      <c r="D20" s="90"/>
      <c r="E20" s="90"/>
      <c r="F20" s="90"/>
      <c r="G20" s="90"/>
      <c r="H20" s="21" t="s">
        <v>58</v>
      </c>
    </row>
    <row r="21" spans="1:8">
      <c r="A21" s="85" t="s">
        <v>37</v>
      </c>
      <c r="B21" s="86"/>
      <c r="C21" s="86"/>
      <c r="D21" s="86"/>
      <c r="E21" s="86"/>
      <c r="F21" s="86"/>
      <c r="G21" s="87"/>
      <c r="H21" s="59" t="s">
        <v>20</v>
      </c>
    </row>
    <row r="22" spans="1:8">
      <c r="A22" s="85"/>
      <c r="B22" s="86"/>
      <c r="C22" s="86"/>
      <c r="D22" s="86"/>
      <c r="E22" s="86"/>
      <c r="F22" s="86"/>
      <c r="G22" s="87"/>
      <c r="H22" s="22"/>
    </row>
    <row r="23" spans="1:8">
      <c r="A23" s="85"/>
      <c r="B23" s="86"/>
      <c r="C23" s="86"/>
      <c r="D23" s="86"/>
      <c r="E23" s="86"/>
      <c r="F23" s="86"/>
      <c r="G23" s="87"/>
      <c r="H23" s="22"/>
    </row>
    <row r="24" spans="1:8">
      <c r="A24" s="85"/>
      <c r="B24" s="86"/>
      <c r="C24" s="86"/>
      <c r="D24" s="86"/>
      <c r="E24" s="86"/>
      <c r="F24" s="86"/>
      <c r="G24" s="87"/>
      <c r="H24" s="22"/>
    </row>
    <row r="25" spans="1:8">
      <c r="A25" s="85"/>
      <c r="B25" s="86"/>
      <c r="C25" s="86"/>
      <c r="D25" s="86"/>
      <c r="E25" s="86"/>
      <c r="F25" s="86"/>
      <c r="G25" s="87"/>
      <c r="H25" s="22"/>
    </row>
    <row r="26" spans="1:8">
      <c r="A26" s="85"/>
      <c r="B26" s="86"/>
      <c r="C26" s="86"/>
      <c r="D26" s="86"/>
      <c r="E26" s="86"/>
      <c r="F26" s="86"/>
      <c r="G26" s="87"/>
      <c r="H26" s="23"/>
    </row>
    <row r="27" spans="1:8">
      <c r="A27" s="85"/>
      <c r="B27" s="86"/>
      <c r="C27" s="86"/>
      <c r="D27" s="86"/>
      <c r="E27" s="86"/>
      <c r="F27" s="86"/>
      <c r="G27" s="87"/>
      <c r="H27" s="24"/>
    </row>
    <row r="28" spans="1:8">
      <c r="A28" s="85"/>
      <c r="B28" s="86"/>
      <c r="C28" s="86"/>
      <c r="D28" s="86"/>
      <c r="E28" s="86"/>
      <c r="F28" s="86"/>
      <c r="G28" s="87"/>
      <c r="H28" s="24"/>
    </row>
    <row r="29" spans="1:8">
      <c r="A29" s="104"/>
      <c r="B29" s="105"/>
      <c r="C29" s="105"/>
      <c r="D29" s="105"/>
      <c r="E29" s="105"/>
      <c r="F29" s="105"/>
      <c r="G29" s="106"/>
      <c r="H29" s="24"/>
    </row>
    <row r="30" spans="1:8">
      <c r="A30" s="25"/>
      <c r="B30" s="107" t="s">
        <v>59</v>
      </c>
      <c r="C30" s="107"/>
      <c r="D30" s="107"/>
      <c r="E30" s="107"/>
      <c r="F30" s="107"/>
      <c r="G30" s="108"/>
      <c r="H30" s="26">
        <f>SUM(H21:H29)</f>
        <v>0</v>
      </c>
    </row>
    <row r="31" spans="1:8">
      <c r="A31" s="16"/>
      <c r="B31" s="109"/>
      <c r="C31" s="109"/>
      <c r="D31" s="19"/>
      <c r="E31" s="18"/>
      <c r="F31" s="89"/>
      <c r="G31" s="89"/>
      <c r="H31" s="19"/>
    </row>
    <row r="32" spans="1:8">
      <c r="A32" s="27"/>
      <c r="B32" s="110"/>
      <c r="C32" s="110"/>
      <c r="D32" s="28"/>
      <c r="E32" s="18"/>
      <c r="F32" s="110"/>
      <c r="G32" s="110"/>
      <c r="H32" s="19"/>
    </row>
    <row r="33" spans="1:8">
      <c r="A33" s="27"/>
      <c r="B33" s="111"/>
      <c r="C33" s="111"/>
      <c r="D33" s="111"/>
      <c r="E33" s="111"/>
      <c r="F33" s="111"/>
      <c r="G33" s="111"/>
      <c r="H33" s="29"/>
    </row>
    <row r="34" spans="1:8">
      <c r="A34" s="27"/>
      <c r="B34" s="27"/>
      <c r="C34" s="27"/>
      <c r="D34" s="27"/>
      <c r="E34" s="30"/>
      <c r="F34" s="27"/>
      <c r="G34" s="27"/>
      <c r="H34" s="27"/>
    </row>
    <row r="35" spans="1:8">
      <c r="A35" s="112" t="s">
        <v>60</v>
      </c>
      <c r="B35" s="113"/>
      <c r="C35" s="113"/>
      <c r="D35" s="113"/>
      <c r="E35" s="113"/>
      <c r="F35" s="114" t="s">
        <v>61</v>
      </c>
      <c r="G35" s="115"/>
      <c r="H35" s="116"/>
    </row>
    <row r="36" spans="1:8">
      <c r="A36" s="123" t="s">
        <v>62</v>
      </c>
      <c r="B36" s="124"/>
      <c r="C36" s="125"/>
      <c r="D36" s="126"/>
      <c r="E36" s="127"/>
      <c r="F36" s="117"/>
      <c r="G36" s="118"/>
      <c r="H36" s="119"/>
    </row>
    <row r="37" spans="1:8">
      <c r="A37" s="123" t="s">
        <v>63</v>
      </c>
      <c r="B37" s="128"/>
      <c r="C37" s="152"/>
      <c r="D37" s="153"/>
      <c r="E37" s="154"/>
      <c r="F37" s="117"/>
      <c r="G37" s="118"/>
      <c r="H37" s="119"/>
    </row>
    <row r="38" spans="1:8" ht="25.5">
      <c r="A38" s="129" t="s">
        <v>64</v>
      </c>
      <c r="B38" s="130"/>
      <c r="C38" s="155" t="s">
        <v>65</v>
      </c>
      <c r="D38" s="156"/>
      <c r="E38" s="157"/>
      <c r="F38" s="117"/>
      <c r="G38" s="118"/>
      <c r="H38" s="119"/>
    </row>
    <row r="39" spans="1:8">
      <c r="A39" s="123" t="s">
        <v>66</v>
      </c>
      <c r="B39" s="124"/>
      <c r="C39" s="158"/>
      <c r="D39" s="158"/>
      <c r="E39" s="158"/>
      <c r="F39" s="117"/>
      <c r="G39" s="118"/>
      <c r="H39" s="119"/>
    </row>
    <row r="40" spans="1:8">
      <c r="A40" s="123" t="s">
        <v>67</v>
      </c>
      <c r="B40" s="124"/>
      <c r="C40" s="131"/>
      <c r="D40" s="151"/>
      <c r="E40" s="151"/>
      <c r="F40" s="117"/>
      <c r="G40" s="118"/>
      <c r="H40" s="119"/>
    </row>
    <row r="41" spans="1:8" ht="25.5">
      <c r="A41" s="132" t="s">
        <v>68</v>
      </c>
      <c r="B41" s="133"/>
      <c r="C41" s="134" t="s">
        <v>81</v>
      </c>
      <c r="D41" s="135"/>
      <c r="E41" s="135"/>
      <c r="F41" s="120"/>
      <c r="G41" s="121"/>
      <c r="H41" s="122"/>
    </row>
    <row r="42" spans="1:8">
      <c r="H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PARTIDAS</vt:lpstr>
      <vt:lpstr>11752</vt:lpstr>
      <vt:lpstr>11753</vt:lpstr>
      <vt:lpstr>11754</vt:lpstr>
      <vt:lpstr>11755</vt:lpstr>
      <vt:lpstr>11756</vt:lpstr>
      <vt:lpstr>11757</vt:lpstr>
      <vt:lpstr>11758</vt:lpstr>
      <vt:lpstr>11759</vt:lpstr>
      <vt:lpstr>11760</vt:lpstr>
      <vt:lpstr>11761</vt:lpstr>
      <vt:lpstr>11762</vt:lpstr>
      <vt:lpstr>11763</vt:lpstr>
      <vt:lpstr>11764</vt:lpstr>
      <vt:lpstr>11765</vt:lpstr>
      <vt:lpstr>11766</vt:lpstr>
      <vt:lpstr>11767</vt:lpstr>
      <vt:lpstr>11768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SEDEMAT</cp:lastModifiedBy>
  <cp:lastPrinted>2025-09-08T13:55:01Z</cp:lastPrinted>
  <dcterms:created xsi:type="dcterms:W3CDTF">2006-09-16T00:00:00Z</dcterms:created>
  <dcterms:modified xsi:type="dcterms:W3CDTF">2025-09-08T17:48:36Z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B79A5A999D0A4BF68276AD3A18592B51_12</vt:lpwstr>
  </property>
  <property fmtid="{D5CDD505-2E9C-101B-9397-08002B2CF9AE}" pid="3" name="KSOProductBuildVer">
    <vt:lpwstr>3082-12.2.0.20795</vt:lpwstr>
  </property>
</Properties>
</file>